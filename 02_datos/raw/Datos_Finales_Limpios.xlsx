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Escritorio\Articulo Diego\"/>
    </mc:Choice>
  </mc:AlternateContent>
  <xr:revisionPtr revIDLastSave="0" documentId="13_ncr:1_{8CA2368D-8E9E-4D3B-BCFC-CF6D4BA3AA81}" xr6:coauthVersionLast="47" xr6:coauthVersionMax="47" xr10:uidLastSave="{00000000-0000-0000-0000-000000000000}"/>
  <bookViews>
    <workbookView xWindow="-108" yWindow="-108" windowWidth="23256" windowHeight="12576" activeTab="1" xr2:uid="{25169C72-D4E0-4E72-BD6D-EFB1D33AFF59}"/>
  </bookViews>
  <sheets>
    <sheet name="Datos_Finales_Limpio" sheetId="1" r:id="rId1"/>
    <sheet name="Diccionario_Variabl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J3" i="1" s="1"/>
  <c r="I4" i="1"/>
  <c r="J4" i="1" s="1"/>
  <c r="I5" i="1"/>
  <c r="J5" i="1" s="1"/>
  <c r="I6" i="1"/>
  <c r="I7" i="1"/>
  <c r="I8" i="1"/>
  <c r="J8" i="1" s="1"/>
  <c r="I9" i="1"/>
  <c r="I10" i="1"/>
  <c r="J10" i="1" s="1"/>
  <c r="I11" i="1"/>
  <c r="J11" i="1" s="1"/>
  <c r="I12" i="1"/>
  <c r="J12" i="1" s="1"/>
  <c r="I13" i="1"/>
  <c r="J13" i="1" s="1"/>
  <c r="I14" i="1"/>
  <c r="I15" i="1"/>
  <c r="I16" i="1"/>
  <c r="J16" i="1" s="1"/>
  <c r="I17" i="1"/>
  <c r="I18" i="1"/>
  <c r="J18" i="1" s="1"/>
  <c r="I19" i="1"/>
  <c r="J19" i="1" s="1"/>
  <c r="I20" i="1"/>
  <c r="J20" i="1" s="1"/>
  <c r="I21" i="1"/>
  <c r="I22" i="1"/>
  <c r="I23" i="1"/>
  <c r="I24" i="1"/>
  <c r="J24" i="1" s="1"/>
  <c r="I25" i="1"/>
  <c r="J25" i="1" s="1"/>
  <c r="I26" i="1"/>
  <c r="J26" i="1" s="1"/>
  <c r="I27" i="1"/>
  <c r="J27" i="1" s="1"/>
  <c r="I28" i="1"/>
  <c r="I29" i="1"/>
  <c r="J29" i="1" s="1"/>
  <c r="I30" i="1"/>
  <c r="I31" i="1"/>
  <c r="J31" i="1" s="1"/>
  <c r="I32" i="1"/>
  <c r="J32" i="1" s="1"/>
  <c r="I33" i="1"/>
  <c r="I34" i="1"/>
  <c r="J34" i="1" s="1"/>
  <c r="I35" i="1"/>
  <c r="J35" i="1" s="1"/>
  <c r="I36" i="1"/>
  <c r="J36" i="1" s="1"/>
  <c r="I37" i="1"/>
  <c r="J37" i="1" s="1"/>
  <c r="I38" i="1"/>
  <c r="I39" i="1"/>
  <c r="I40" i="1"/>
  <c r="J40" i="1" s="1"/>
  <c r="I41" i="1"/>
  <c r="I42" i="1"/>
  <c r="J42" i="1" s="1"/>
  <c r="I43" i="1"/>
  <c r="J43" i="1" s="1"/>
  <c r="I44" i="1"/>
  <c r="J44" i="1" s="1"/>
  <c r="I45" i="1"/>
  <c r="J45" i="1" s="1"/>
  <c r="I46" i="1"/>
  <c r="I47" i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I55" i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I63" i="1"/>
  <c r="I64" i="1"/>
  <c r="I65" i="1"/>
  <c r="I66" i="1"/>
  <c r="J66" i="1" s="1"/>
  <c r="I67" i="1"/>
  <c r="J67" i="1" s="1"/>
  <c r="I68" i="1"/>
  <c r="J68" i="1" s="1"/>
  <c r="I69" i="1"/>
  <c r="J69" i="1" s="1"/>
  <c r="I70" i="1"/>
  <c r="I71" i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I79" i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I87" i="1"/>
  <c r="I88" i="1"/>
  <c r="J88" i="1" s="1"/>
  <c r="I89" i="1"/>
  <c r="J89" i="1" s="1"/>
  <c r="I90" i="1"/>
  <c r="J90" i="1" s="1"/>
  <c r="I91" i="1"/>
  <c r="J91" i="1" s="1"/>
  <c r="I92" i="1"/>
  <c r="I93" i="1"/>
  <c r="J93" i="1" s="1"/>
  <c r="I94" i="1"/>
  <c r="I95" i="1"/>
  <c r="I96" i="1"/>
  <c r="J96" i="1" s="1"/>
  <c r="I97" i="1"/>
  <c r="J97" i="1" s="1"/>
  <c r="I98" i="1"/>
  <c r="J98" i="1" s="1"/>
  <c r="I99" i="1"/>
  <c r="I100" i="1"/>
  <c r="J100" i="1" s="1"/>
  <c r="I101" i="1"/>
  <c r="J101" i="1" s="1"/>
  <c r="I102" i="1"/>
  <c r="I103" i="1"/>
  <c r="I104" i="1"/>
  <c r="J104" i="1" s="1"/>
  <c r="I105" i="1"/>
  <c r="I2" i="1"/>
  <c r="J2" i="1" s="1"/>
  <c r="J7" i="1"/>
  <c r="J23" i="1"/>
  <c r="J39" i="1"/>
  <c r="J47" i="1"/>
  <c r="J64" i="1"/>
  <c r="J71" i="1"/>
  <c r="J87" i="1"/>
  <c r="J95" i="1"/>
  <c r="J10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2" i="1"/>
  <c r="J15" i="1"/>
  <c r="J28" i="1"/>
  <c r="J55" i="1"/>
  <c r="J63" i="1"/>
  <c r="J79" i="1"/>
  <c r="J92" i="1"/>
  <c r="J99" i="1"/>
  <c r="J6" i="1"/>
  <c r="J9" i="1"/>
  <c r="J14" i="1"/>
  <c r="J17" i="1"/>
  <c r="J21" i="1"/>
  <c r="J22" i="1"/>
  <c r="J30" i="1"/>
  <c r="J33" i="1"/>
  <c r="J38" i="1"/>
  <c r="J41" i="1"/>
  <c r="J46" i="1"/>
  <c r="J54" i="1"/>
  <c r="J62" i="1"/>
  <c r="J65" i="1"/>
  <c r="J70" i="1"/>
  <c r="J78" i="1"/>
  <c r="J86" i="1"/>
  <c r="J94" i="1"/>
  <c r="J102" i="1"/>
  <c r="J105" i="1"/>
</calcChain>
</file>

<file path=xl/sharedStrings.xml><?xml version="1.0" encoding="utf-8"?>
<sst xmlns="http://schemas.openxmlformats.org/spreadsheetml/2006/main" count="191" uniqueCount="163">
  <si>
    <t>Trimestres</t>
  </si>
  <si>
    <t>2000.I</t>
  </si>
  <si>
    <t>2000.II</t>
  </si>
  <si>
    <t>2000.III</t>
  </si>
  <si>
    <t>2000.IV</t>
  </si>
  <si>
    <t>2001.I</t>
  </si>
  <si>
    <t>2001.II</t>
  </si>
  <si>
    <t>2001.III</t>
  </si>
  <si>
    <t>2001.IV</t>
  </si>
  <si>
    <t>2002.I</t>
  </si>
  <si>
    <t>2002.II</t>
  </si>
  <si>
    <t>2002.III</t>
  </si>
  <si>
    <t>2002.IV</t>
  </si>
  <si>
    <t>2003.I</t>
  </si>
  <si>
    <t>2003.II</t>
  </si>
  <si>
    <t>2003.III</t>
  </si>
  <si>
    <t>2003.IV</t>
  </si>
  <si>
    <t>2004.I</t>
  </si>
  <si>
    <t>2004.II</t>
  </si>
  <si>
    <t>2004.III</t>
  </si>
  <si>
    <t>2004.IV</t>
  </si>
  <si>
    <t>2005.I</t>
  </si>
  <si>
    <t>2005.II</t>
  </si>
  <si>
    <t>2005.III</t>
  </si>
  <si>
    <t>2005.IV</t>
  </si>
  <si>
    <t>2006.I</t>
  </si>
  <si>
    <t>2006.II</t>
  </si>
  <si>
    <t>2006.III</t>
  </si>
  <si>
    <t>2006.IV</t>
  </si>
  <si>
    <t>2007.I</t>
  </si>
  <si>
    <t>2007.II</t>
  </si>
  <si>
    <t>2007.III</t>
  </si>
  <si>
    <t>2007.IV</t>
  </si>
  <si>
    <t>2008.I</t>
  </si>
  <si>
    <t>2008.II</t>
  </si>
  <si>
    <t>2008.III</t>
  </si>
  <si>
    <t>2008.IV</t>
  </si>
  <si>
    <t>2009.I</t>
  </si>
  <si>
    <t>2009.II</t>
  </si>
  <si>
    <t>2009.III</t>
  </si>
  <si>
    <t>2009.IV</t>
  </si>
  <si>
    <t>2010.I</t>
  </si>
  <si>
    <t>2010.II</t>
  </si>
  <si>
    <t>2010.III</t>
  </si>
  <si>
    <t>2010.IV</t>
  </si>
  <si>
    <t>2011.I</t>
  </si>
  <si>
    <t>2011.II</t>
  </si>
  <si>
    <t>2011.III</t>
  </si>
  <si>
    <t>2011.IV</t>
  </si>
  <si>
    <t>2012.I</t>
  </si>
  <si>
    <t>2012.II</t>
  </si>
  <si>
    <t>2012.III</t>
  </si>
  <si>
    <t>2012.IV</t>
  </si>
  <si>
    <t>2013.I</t>
  </si>
  <si>
    <t>2013.II</t>
  </si>
  <si>
    <t>2013.III</t>
  </si>
  <si>
    <t>2013.IV</t>
  </si>
  <si>
    <t>2014.I</t>
  </si>
  <si>
    <t>2014.II</t>
  </si>
  <si>
    <t>2014.III</t>
  </si>
  <si>
    <t>2014.IV</t>
  </si>
  <si>
    <t>2015.I</t>
  </si>
  <si>
    <t>2015.II</t>
  </si>
  <si>
    <t>2015.III</t>
  </si>
  <si>
    <t>2015.IV</t>
  </si>
  <si>
    <t>2016.I</t>
  </si>
  <si>
    <t>2016.II</t>
  </si>
  <si>
    <t>2016.III</t>
  </si>
  <si>
    <t>2016.IV</t>
  </si>
  <si>
    <t>2017.I</t>
  </si>
  <si>
    <t>2017.II</t>
  </si>
  <si>
    <t>2017.III</t>
  </si>
  <si>
    <t>2017.IV</t>
  </si>
  <si>
    <t>2018.I</t>
  </si>
  <si>
    <t>2018.II</t>
  </si>
  <si>
    <t>2018.III</t>
  </si>
  <si>
    <t>2018.IV</t>
  </si>
  <si>
    <t>2019.I</t>
  </si>
  <si>
    <t>2019.II</t>
  </si>
  <si>
    <t>2019.III</t>
  </si>
  <si>
    <t>2019.IV</t>
  </si>
  <si>
    <t>2020.I</t>
  </si>
  <si>
    <t>2020.II</t>
  </si>
  <si>
    <t>2020.III</t>
  </si>
  <si>
    <t>2020.IV</t>
  </si>
  <si>
    <t>2021.I</t>
  </si>
  <si>
    <t>2021.II</t>
  </si>
  <si>
    <t>2021.III</t>
  </si>
  <si>
    <t>2021.IV</t>
  </si>
  <si>
    <t>2022.I</t>
  </si>
  <si>
    <t>2022.II</t>
  </si>
  <si>
    <t>2022.III</t>
  </si>
  <si>
    <t>2022.IV</t>
  </si>
  <si>
    <t>2023.I</t>
  </si>
  <si>
    <t>2023.II</t>
  </si>
  <si>
    <t>Poblacion</t>
  </si>
  <si>
    <t>2023.III</t>
  </si>
  <si>
    <t>2023.IV</t>
  </si>
  <si>
    <t>2024.I</t>
  </si>
  <si>
    <t>2024.II</t>
  </si>
  <si>
    <t>2024.III</t>
  </si>
  <si>
    <t>2024.IV</t>
  </si>
  <si>
    <t>2025.I</t>
  </si>
  <si>
    <t>2025.II</t>
  </si>
  <si>
    <t>2025.III</t>
  </si>
  <si>
    <t>2025.IV</t>
  </si>
  <si>
    <t>HHI</t>
  </si>
  <si>
    <t>Precio_Petroleo</t>
  </si>
  <si>
    <t>Apertura_Comercial</t>
  </si>
  <si>
    <t>IED</t>
  </si>
  <si>
    <t>IED_pct</t>
  </si>
  <si>
    <t>PIB_Millones</t>
  </si>
  <si>
    <t xml:space="preserve">PIB_Percapita </t>
  </si>
  <si>
    <t>ln_PIB_Percapita</t>
  </si>
  <si>
    <t>Se usa como variable dependiente en OLS/ARDL/NARDL</t>
  </si>
  <si>
    <t>Elaboracion propia</t>
  </si>
  <si>
    <t>Variable dependiente principal</t>
  </si>
  <si>
    <t>Cuantitativa continua</t>
  </si>
  <si>
    <t>Logaritmo natural del PIB per capita</t>
  </si>
  <si>
    <t>Logaritmo del PIB per capita</t>
  </si>
  <si>
    <t>Medida de nivel de ingreso</t>
  </si>
  <si>
    <t>Variable derivada</t>
  </si>
  <si>
    <t>PIB total dividido para la poblacion</t>
  </si>
  <si>
    <t>PIB per capita</t>
  </si>
  <si>
    <t>PIB_Percapita</t>
  </si>
  <si>
    <t>Base para derivar PIB per capita</t>
  </si>
  <si>
    <t>Variable auxiliar</t>
  </si>
  <si>
    <t>Producto Interno Bruto trimestral total</t>
  </si>
  <si>
    <t>PIB total</t>
  </si>
  <si>
    <t>Usada para calcular el PIB per capita</t>
  </si>
  <si>
    <t>Fuente demografica / elaboracion propia</t>
  </si>
  <si>
    <t>Poblacion estimada del Ecuador por trimestre</t>
  </si>
  <si>
    <t>Poblacion total</t>
  </si>
  <si>
    <t>Aclarar en el texto si es % del PIB o de la FBCF</t>
  </si>
  <si>
    <t>Variable de control</t>
  </si>
  <si>
    <t>Inversion extranjera directa expresada como porcentaje respecto a una variable base</t>
  </si>
  <si>
    <t>IED como porcentaje</t>
  </si>
  <si>
    <t>Puede tomar valores positivos o negativos</t>
  </si>
  <si>
    <t>Flujo trimestral de IED</t>
  </si>
  <si>
    <t>Inversion extranjera directa</t>
  </si>
  <si>
    <t>Relacion comercio/PIB u otra medida documentada en metodologia</t>
  </si>
  <si>
    <t>Indicador de apertura comercial del Ecuador</t>
  </si>
  <si>
    <t>Apertura comercial</t>
  </si>
  <si>
    <t>Serie trimestral alineada con 2000â€“2025</t>
  </si>
  <si>
    <t>Fuente externa / elaboracion propia</t>
  </si>
  <si>
    <t>Precio internacional del petroleo usado como choque externo</t>
  </si>
  <si>
    <t>Precio del petroleo</t>
  </si>
  <si>
    <t>Construido a partir de participaciones exportadoras</t>
  </si>
  <si>
    <t>Variable explicativa principal</t>
  </si>
  <si>
    <t>Mide la concentracion de la estructura exportadora (valores altos=menos diversificacion)</t>
  </si>
  <si>
    <t>Indice Herfindahl-Hirschman</t>
  </si>
  <si>
    <t>Serie 2000.Iâ€“2025.IV</t>
  </si>
  <si>
    <t>Indice de tiempo</t>
  </si>
  <si>
    <t>Temporal</t>
  </si>
  <si>
    <t>Identificador temporal de cada observacion trimestral</t>
  </si>
  <si>
    <t>Periodo trimestral</t>
  </si>
  <si>
    <t>Observaciones</t>
  </si>
  <si>
    <t>Fuente</t>
  </si>
  <si>
    <t>Rol_modelo</t>
  </si>
  <si>
    <t>Tipo</t>
  </si>
  <si>
    <t>Definicion</t>
  </si>
  <si>
    <t>Nombre_largo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</si>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</sst>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00"/>
    <numFmt numFmtId="165" formatCode="0.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3">
    <cellStyle name="Millares 3" xfId="2" xr:uid="{877ABE3E-E589-462D-BCF1-F8D18C7EBDD6}"/>
    <cellStyle name="Normal" xfId="0" builtinId="0"/>
    <cellStyle name="Normal 2" xfId="1" xr:uid="{3AF08A56-7F75-44E5-A339-FE133D1AF7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59C8-6261-44E2-B0CE-15D20D94DB62}">
  <dimension ref="A1:J105"/>
  <sheetViews>
    <sheetView workbookViewId="0">
      <selection activeCell="H5" sqref="H5"/>
    </sheetView>
  </sheetViews>
  <sheetFormatPr baseColWidth="10" defaultRowHeight="14.4" x14ac:dyDescent="0.3"/>
  <cols>
    <col min="3" max="3" width="13.88671875" customWidth="1"/>
    <col min="4" max="4" width="17.6640625" customWidth="1"/>
    <col min="5" max="6" width="13.88671875" customWidth="1"/>
    <col min="7" max="7" width="12.44140625" customWidth="1"/>
    <col min="8" max="8" width="22.88671875" customWidth="1"/>
    <col min="9" max="9" width="14.21875" customWidth="1"/>
    <col min="10" max="10" width="13.6640625" customWidth="1"/>
  </cols>
  <sheetData>
    <row r="1" spans="1:10" x14ac:dyDescent="0.3">
      <c r="A1" t="s">
        <v>0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95</v>
      </c>
      <c r="H1" t="s">
        <v>111</v>
      </c>
      <c r="I1" t="s">
        <v>112</v>
      </c>
      <c r="J1" t="s">
        <v>113</v>
      </c>
    </row>
    <row r="2" spans="1:10" x14ac:dyDescent="0.3">
      <c r="A2" t="s">
        <v>1</v>
      </c>
      <c r="B2" s="2">
        <v>0.33511793567387599</v>
      </c>
      <c r="C2" s="1">
        <v>26.926666666666666</v>
      </c>
      <c r="D2" s="1">
        <v>65.404295382639063</v>
      </c>
      <c r="E2" s="1">
        <v>33.671633192419499</v>
      </c>
      <c r="F2" s="3">
        <f t="shared" ref="F2:F33" si="0">E2/H2*100</f>
        <v>2.812112693813837E-4</v>
      </c>
      <c r="G2" s="1">
        <v>12689206</v>
      </c>
      <c r="H2" s="5">
        <v>11973785.1425696</v>
      </c>
      <c r="I2" s="1">
        <f t="shared" ref="I2:I33" si="1">(H2*1000000)/G2</f>
        <v>943619.73023131629</v>
      </c>
      <c r="J2" s="1">
        <f>LN(I2)</f>
        <v>13.757478535825793</v>
      </c>
    </row>
    <row r="3" spans="1:10" x14ac:dyDescent="0.3">
      <c r="A3" t="s">
        <v>2</v>
      </c>
      <c r="B3" s="2">
        <v>0.33511793567387599</v>
      </c>
      <c r="C3" s="1">
        <v>26.766666666666666</v>
      </c>
      <c r="D3" s="1">
        <v>65.404295382639063</v>
      </c>
      <c r="E3" s="1">
        <v>22.153184237860813</v>
      </c>
      <c r="F3" s="3">
        <f t="shared" si="0"/>
        <v>1.7813850551658922E-4</v>
      </c>
      <c r="G3" s="1">
        <v>12689206</v>
      </c>
      <c r="H3" s="5">
        <v>12435932.463685</v>
      </c>
      <c r="I3" s="1">
        <f t="shared" si="1"/>
        <v>980040.2376385883</v>
      </c>
      <c r="J3" s="1">
        <f t="shared" ref="J3:J45" si="2">LN(I3)</f>
        <v>13.795348908618751</v>
      </c>
    </row>
    <row r="4" spans="1:10" x14ac:dyDescent="0.3">
      <c r="A4" t="s">
        <v>3</v>
      </c>
      <c r="B4" s="2">
        <v>0.33511793567387599</v>
      </c>
      <c r="C4" s="1">
        <v>30.673333333333332</v>
      </c>
      <c r="D4" s="1">
        <v>65.404295382639063</v>
      </c>
      <c r="E4" s="1">
        <v>-89.896271222139191</v>
      </c>
      <c r="F4" s="3">
        <f t="shared" si="0"/>
        <v>-6.8140320823492639E-4</v>
      </c>
      <c r="G4" s="1">
        <v>12689206</v>
      </c>
      <c r="H4" s="5">
        <v>13192815.962079501</v>
      </c>
      <c r="I4" s="1">
        <f t="shared" si="1"/>
        <v>1039688.0594482822</v>
      </c>
      <c r="J4" s="1">
        <f t="shared" si="2"/>
        <v>13.854431283287516</v>
      </c>
    </row>
    <row r="5" spans="1:10" x14ac:dyDescent="0.3">
      <c r="A5" t="s">
        <v>4</v>
      </c>
      <c r="B5" s="2">
        <v>0.33511793567387599</v>
      </c>
      <c r="C5" s="1">
        <v>29.723333333333333</v>
      </c>
      <c r="D5" s="1">
        <v>65.404295382639063</v>
      </c>
      <c r="E5" s="1">
        <v>10.632085877860813</v>
      </c>
      <c r="F5" s="3">
        <f t="shared" si="0"/>
        <v>7.3045111561898733E-5</v>
      </c>
      <c r="G5" s="1">
        <v>12689206</v>
      </c>
      <c r="H5" s="5">
        <v>14555506.385736899</v>
      </c>
      <c r="I5" s="1">
        <f t="shared" si="1"/>
        <v>1147077.7908197644</v>
      </c>
      <c r="J5" s="1">
        <f t="shared" si="2"/>
        <v>13.952728214927509</v>
      </c>
    </row>
    <row r="6" spans="1:10" x14ac:dyDescent="0.3">
      <c r="A6" t="s">
        <v>5</v>
      </c>
      <c r="B6" s="2">
        <v>0.29423825367952161</v>
      </c>
      <c r="C6" s="1">
        <v>25.873333333333335</v>
      </c>
      <c r="D6" s="1">
        <v>56.128486744204999</v>
      </c>
      <c r="E6" s="1">
        <v>132.2693435525</v>
      </c>
      <c r="F6" s="3">
        <f t="shared" si="0"/>
        <v>1.0367654433800905E-3</v>
      </c>
      <c r="G6" s="1">
        <v>12910740</v>
      </c>
      <c r="H6" s="5">
        <v>12757885.0546245</v>
      </c>
      <c r="I6" s="1">
        <f t="shared" si="1"/>
        <v>988160.63638679893</v>
      </c>
      <c r="J6" s="1">
        <f t="shared" si="2"/>
        <v>13.803600550950131</v>
      </c>
    </row>
    <row r="7" spans="1:10" x14ac:dyDescent="0.3">
      <c r="A7" t="s">
        <v>6</v>
      </c>
      <c r="B7" s="2">
        <v>0.29423825367952161</v>
      </c>
      <c r="C7" s="1">
        <v>27.27333333333333</v>
      </c>
      <c r="D7" s="1">
        <v>56.128486744204999</v>
      </c>
      <c r="E7" s="1">
        <v>139.3040915425</v>
      </c>
      <c r="F7" s="3">
        <f t="shared" si="0"/>
        <v>1.0579411639073132E-3</v>
      </c>
      <c r="G7" s="1">
        <v>12910740</v>
      </c>
      <c r="H7" s="5">
        <v>13167470.5829581</v>
      </c>
      <c r="I7" s="1">
        <f t="shared" si="1"/>
        <v>1019885.0401261352</v>
      </c>
      <c r="J7" s="1">
        <f t="shared" si="2"/>
        <v>13.835200473149992</v>
      </c>
    </row>
    <row r="8" spans="1:10" x14ac:dyDescent="0.3">
      <c r="A8" t="s">
        <v>7</v>
      </c>
      <c r="B8" s="2">
        <v>0.29423825367952161</v>
      </c>
      <c r="C8" s="1">
        <v>25.303333333333331</v>
      </c>
      <c r="D8" s="1">
        <v>56.128486744204999</v>
      </c>
      <c r="E8" s="1">
        <v>72.062741732500044</v>
      </c>
      <c r="F8" s="3">
        <f t="shared" si="0"/>
        <v>5.3557363983605937E-4</v>
      </c>
      <c r="G8" s="1">
        <v>12910740</v>
      </c>
      <c r="H8" s="5">
        <v>13455244.3160867</v>
      </c>
      <c r="I8" s="1">
        <f t="shared" si="1"/>
        <v>1042174.5241625732</v>
      </c>
      <c r="J8" s="1">
        <f t="shared" si="2"/>
        <v>13.85681997687003</v>
      </c>
    </row>
    <row r="9" spans="1:10" x14ac:dyDescent="0.3">
      <c r="A9" t="s">
        <v>8</v>
      </c>
      <c r="B9" s="2">
        <v>0.29423825367952161</v>
      </c>
      <c r="C9" s="1">
        <v>19.350000000000001</v>
      </c>
      <c r="D9" s="1">
        <v>56.128486744204999</v>
      </c>
      <c r="E9" s="1">
        <v>194.93239834249999</v>
      </c>
      <c r="F9" s="3">
        <f t="shared" si="0"/>
        <v>1.3020362738782772E-3</v>
      </c>
      <c r="G9" s="1">
        <v>12910740</v>
      </c>
      <c r="H9" s="5">
        <v>14971349.2821417</v>
      </c>
      <c r="I9" s="1">
        <f t="shared" si="1"/>
        <v>1159604.2738171245</v>
      </c>
      <c r="J9" s="1">
        <f t="shared" si="2"/>
        <v>13.963589361618848</v>
      </c>
    </row>
    <row r="10" spans="1:10" x14ac:dyDescent="0.3">
      <c r="A10" t="s">
        <v>9</v>
      </c>
      <c r="B10" s="2">
        <v>0.28837509091240765</v>
      </c>
      <c r="C10" s="1">
        <v>21.133333333333336</v>
      </c>
      <c r="D10" s="1">
        <v>54.796643936613606</v>
      </c>
      <c r="E10" s="1">
        <v>195.01762789</v>
      </c>
      <c r="F10" s="3">
        <f t="shared" si="0"/>
        <v>1.4647016744350739E-3</v>
      </c>
      <c r="G10" s="1">
        <v>13138472</v>
      </c>
      <c r="H10" s="5">
        <v>13314494.7734983</v>
      </c>
      <c r="I10" s="1">
        <f t="shared" si="1"/>
        <v>1013397.5072214106</v>
      </c>
      <c r="J10" s="1">
        <f t="shared" si="2"/>
        <v>13.828819112203879</v>
      </c>
    </row>
    <row r="11" spans="1:10" x14ac:dyDescent="0.3">
      <c r="A11" t="s">
        <v>10</v>
      </c>
      <c r="B11" s="2">
        <v>0.28837509091240765</v>
      </c>
      <c r="C11" s="1">
        <v>25.053333333333331</v>
      </c>
      <c r="D11" s="1">
        <v>54.796643936613606</v>
      </c>
      <c r="E11" s="1">
        <v>465.66181454000002</v>
      </c>
      <c r="F11" s="3">
        <f t="shared" si="0"/>
        <v>3.3705352156520067E-3</v>
      </c>
      <c r="G11" s="1">
        <v>13138472</v>
      </c>
      <c r="H11" s="5">
        <v>13815663.826254399</v>
      </c>
      <c r="I11" s="1">
        <f t="shared" si="1"/>
        <v>1051542.6623624421</v>
      </c>
      <c r="J11" s="1">
        <f t="shared" si="2"/>
        <v>13.865768846161981</v>
      </c>
    </row>
    <row r="12" spans="1:10" x14ac:dyDescent="0.3">
      <c r="A12" t="s">
        <v>11</v>
      </c>
      <c r="B12" s="2">
        <v>0.28837509091240765</v>
      </c>
      <c r="C12" s="1">
        <v>26.929999999999996</v>
      </c>
      <c r="D12" s="1">
        <v>54.796643936613606</v>
      </c>
      <c r="E12" s="1">
        <v>-39.042548679999982</v>
      </c>
      <c r="F12" s="3">
        <f t="shared" si="0"/>
        <v>-2.753764119251642E-4</v>
      </c>
      <c r="G12" s="1">
        <v>13138472</v>
      </c>
      <c r="H12" s="5">
        <v>14177884.1575618</v>
      </c>
      <c r="I12" s="1">
        <f t="shared" si="1"/>
        <v>1079112.1035659092</v>
      </c>
      <c r="J12" s="1">
        <f t="shared" si="2"/>
        <v>13.891649134641353</v>
      </c>
    </row>
    <row r="13" spans="1:10" x14ac:dyDescent="0.3">
      <c r="A13" t="s">
        <v>12</v>
      </c>
      <c r="B13" s="2">
        <v>0.28837509091240765</v>
      </c>
      <c r="C13" s="1">
        <v>26.736666666666668</v>
      </c>
      <c r="D13" s="1">
        <v>54.796643936613606</v>
      </c>
      <c r="E13" s="1">
        <v>161.62411579999994</v>
      </c>
      <c r="F13" s="3">
        <f t="shared" si="0"/>
        <v>1.0279847879247619E-3</v>
      </c>
      <c r="G13" s="1">
        <v>13138472</v>
      </c>
      <c r="H13" s="5">
        <v>15722422.909221999</v>
      </c>
      <c r="I13" s="1">
        <f t="shared" si="1"/>
        <v>1196670.5800508612</v>
      </c>
      <c r="J13" s="1">
        <f t="shared" si="2"/>
        <v>13.995053742028492</v>
      </c>
    </row>
    <row r="14" spans="1:10" x14ac:dyDescent="0.3">
      <c r="A14" t="s">
        <v>13</v>
      </c>
      <c r="B14" s="2">
        <v>0.29517498511546353</v>
      </c>
      <c r="C14" s="1">
        <v>31.52</v>
      </c>
      <c r="D14" s="1">
        <v>52.3575426975979</v>
      </c>
      <c r="E14" s="1">
        <v>370.55299037090469</v>
      </c>
      <c r="F14" s="3">
        <f t="shared" si="0"/>
        <v>2.6651646218470337E-3</v>
      </c>
      <c r="G14" s="1">
        <v>13372306</v>
      </c>
      <c r="H14" s="5">
        <v>13903568.5575813</v>
      </c>
      <c r="I14" s="1">
        <f t="shared" si="1"/>
        <v>1039728.5672030913</v>
      </c>
      <c r="J14" s="1">
        <f t="shared" si="2"/>
        <v>13.854470243978986</v>
      </c>
    </row>
    <row r="15" spans="1:10" x14ac:dyDescent="0.3">
      <c r="A15" t="s">
        <v>14</v>
      </c>
      <c r="B15" s="2">
        <v>0.29517498511546353</v>
      </c>
      <c r="C15" s="1">
        <v>26.169999999999998</v>
      </c>
      <c r="D15" s="1">
        <v>52.3575426975979</v>
      </c>
      <c r="E15" s="1">
        <v>234.78529487090475</v>
      </c>
      <c r="F15" s="3">
        <f t="shared" si="0"/>
        <v>1.6790508370456406E-3</v>
      </c>
      <c r="G15" s="1">
        <v>13372306</v>
      </c>
      <c r="H15" s="5">
        <v>13983215.3792329</v>
      </c>
      <c r="I15" s="1">
        <f t="shared" si="1"/>
        <v>1045684.6694379339</v>
      </c>
      <c r="J15" s="1">
        <f t="shared" si="2"/>
        <v>13.860182414905371</v>
      </c>
    </row>
    <row r="16" spans="1:10" x14ac:dyDescent="0.3">
      <c r="A16" t="s">
        <v>15</v>
      </c>
      <c r="B16" s="2">
        <v>0.29517498511546353</v>
      </c>
      <c r="C16" s="1">
        <v>28.45</v>
      </c>
      <c r="D16" s="1">
        <v>52.3575426975979</v>
      </c>
      <c r="E16" s="1">
        <v>168.80156095090473</v>
      </c>
      <c r="F16" s="3">
        <f t="shared" si="0"/>
        <v>1.1676349861270896E-3</v>
      </c>
      <c r="G16" s="1">
        <v>13372306</v>
      </c>
      <c r="H16" s="5">
        <v>14456706.330015</v>
      </c>
      <c r="I16" s="1">
        <f t="shared" si="1"/>
        <v>1081092.9939843584</v>
      </c>
      <c r="J16" s="1">
        <f t="shared" si="2"/>
        <v>13.893483118808804</v>
      </c>
    </row>
    <row r="17" spans="1:10" x14ac:dyDescent="0.3">
      <c r="A17" t="s">
        <v>16</v>
      </c>
      <c r="B17" s="2">
        <v>0.29517498511546353</v>
      </c>
      <c r="C17" s="1">
        <v>29.39</v>
      </c>
      <c r="D17" s="1">
        <v>52.3575426975979</v>
      </c>
      <c r="E17" s="1">
        <v>97.373567830904719</v>
      </c>
      <c r="F17" s="3">
        <f t="shared" si="0"/>
        <v>5.9621264950663385E-4</v>
      </c>
      <c r="G17" s="1">
        <v>13372306</v>
      </c>
      <c r="H17" s="5">
        <v>16332019.777084799</v>
      </c>
      <c r="I17" s="1">
        <f t="shared" si="1"/>
        <v>1221331.5921042189</v>
      </c>
      <c r="J17" s="1">
        <f t="shared" si="2"/>
        <v>14.015452290428172</v>
      </c>
    </row>
    <row r="18" spans="1:10" x14ac:dyDescent="0.3">
      <c r="A18" t="s">
        <v>17</v>
      </c>
      <c r="B18" s="2">
        <v>0.3724313057465598</v>
      </c>
      <c r="C18" s="1">
        <v>31.923333333333336</v>
      </c>
      <c r="D18" s="1">
        <v>56.07454672399421</v>
      </c>
      <c r="E18" s="1">
        <v>248.82456088141112</v>
      </c>
      <c r="F18" s="3">
        <f t="shared" si="0"/>
        <v>1.7092765653615644E-3</v>
      </c>
      <c r="G18" s="1">
        <v>13608701</v>
      </c>
      <c r="H18" s="5">
        <v>14557302.5409599</v>
      </c>
      <c r="I18" s="1">
        <f t="shared" si="1"/>
        <v>1069705.5171511152</v>
      </c>
      <c r="J18" s="1">
        <f t="shared" si="2"/>
        <v>13.882893950942991</v>
      </c>
    </row>
    <row r="19" spans="1:10" x14ac:dyDescent="0.3">
      <c r="A19" t="s">
        <v>18</v>
      </c>
      <c r="B19" s="2">
        <v>0.3724313057465598</v>
      </c>
      <c r="C19" s="1">
        <v>35.446666666666665</v>
      </c>
      <c r="D19" s="1">
        <v>56.07454672399421</v>
      </c>
      <c r="E19" s="1">
        <v>175.00272942141117</v>
      </c>
      <c r="F19" s="3">
        <f t="shared" si="0"/>
        <v>1.1638429360757744E-3</v>
      </c>
      <c r="G19" s="1">
        <v>13608701</v>
      </c>
      <c r="H19" s="5">
        <v>15036627.7095329</v>
      </c>
      <c r="I19" s="1">
        <f t="shared" si="1"/>
        <v>1104927.4805532799</v>
      </c>
      <c r="J19" s="1">
        <f t="shared" si="2"/>
        <v>13.915290262321779</v>
      </c>
    </row>
    <row r="20" spans="1:10" x14ac:dyDescent="0.3">
      <c r="A20" t="s">
        <v>19</v>
      </c>
      <c r="B20" s="2">
        <v>0.3724313057465598</v>
      </c>
      <c r="C20" s="1">
        <v>41.386666666666663</v>
      </c>
      <c r="D20" s="1">
        <v>56.07454672399421</v>
      </c>
      <c r="E20" s="1">
        <v>213.83546428141113</v>
      </c>
      <c r="F20" s="3">
        <f t="shared" si="0"/>
        <v>1.3720983163962299E-3</v>
      </c>
      <c r="G20" s="1">
        <v>13608701</v>
      </c>
      <c r="H20" s="5">
        <v>15584558.4624754</v>
      </c>
      <c r="I20" s="1">
        <f t="shared" si="1"/>
        <v>1145190.7468960779</v>
      </c>
      <c r="J20" s="1">
        <f t="shared" si="2"/>
        <v>13.951081772271323</v>
      </c>
    </row>
    <row r="21" spans="1:10" x14ac:dyDescent="0.3">
      <c r="A21" t="s">
        <v>20</v>
      </c>
      <c r="B21" s="2">
        <v>0.3724313057465598</v>
      </c>
      <c r="C21" s="1">
        <v>44.163333333333334</v>
      </c>
      <c r="D21" s="1">
        <v>56.07454672399421</v>
      </c>
      <c r="E21" s="1">
        <v>199.27683931141112</v>
      </c>
      <c r="F21" s="3">
        <f t="shared" si="0"/>
        <v>1.1383367784392696E-3</v>
      </c>
      <c r="G21" s="1">
        <v>13608701</v>
      </c>
      <c r="H21" s="5">
        <v>17505965.113824401</v>
      </c>
      <c r="I21" s="1">
        <f t="shared" si="1"/>
        <v>1286380.3175501027</v>
      </c>
      <c r="J21" s="1">
        <f t="shared" si="2"/>
        <v>14.067342876877865</v>
      </c>
    </row>
    <row r="22" spans="1:10" x14ac:dyDescent="0.3">
      <c r="A22" t="s">
        <v>21</v>
      </c>
      <c r="B22" s="2">
        <v>0.40379685959544093</v>
      </c>
      <c r="C22" s="1">
        <v>47.696666666666665</v>
      </c>
      <c r="D22" s="1">
        <v>61.958150790257193</v>
      </c>
      <c r="E22" s="1">
        <v>209.47889366141109</v>
      </c>
      <c r="F22" s="3">
        <f t="shared" si="0"/>
        <v>1.3530183501071701E-3</v>
      </c>
      <c r="G22" s="1">
        <v>13846163</v>
      </c>
      <c r="H22" s="5">
        <v>15482339.440911399</v>
      </c>
      <c r="I22" s="1">
        <f t="shared" si="1"/>
        <v>1118168.2203879443</v>
      </c>
      <c r="J22" s="1">
        <f t="shared" si="2"/>
        <v>13.927202386841667</v>
      </c>
    </row>
    <row r="23" spans="1:10" x14ac:dyDescent="0.3">
      <c r="A23" t="s">
        <v>22</v>
      </c>
      <c r="B23" s="2">
        <v>0.40379685959544093</v>
      </c>
      <c r="C23" s="1">
        <v>51.626666666666665</v>
      </c>
      <c r="D23" s="1">
        <v>61.958150790257193</v>
      </c>
      <c r="E23" s="1">
        <v>-148.9314991185889</v>
      </c>
      <c r="F23" s="3">
        <f t="shared" si="0"/>
        <v>-9.3099829945032114E-4</v>
      </c>
      <c r="G23" s="1">
        <v>13846163</v>
      </c>
      <c r="H23" s="5">
        <v>15996967.900641801</v>
      </c>
      <c r="I23" s="1">
        <f t="shared" si="1"/>
        <v>1155335.8067965689</v>
      </c>
      <c r="J23" s="1">
        <f t="shared" si="2"/>
        <v>13.95990160149603</v>
      </c>
    </row>
    <row r="24" spans="1:10" x14ac:dyDescent="0.3">
      <c r="A24" t="s">
        <v>23</v>
      </c>
      <c r="B24" s="2">
        <v>0.40379685959544093</v>
      </c>
      <c r="C24" s="1">
        <v>61.47</v>
      </c>
      <c r="D24" s="1">
        <v>61.958150790257193</v>
      </c>
      <c r="E24" s="1">
        <v>186.85404646141112</v>
      </c>
      <c r="F24" s="3">
        <f t="shared" si="0"/>
        <v>1.1434752570953399E-3</v>
      </c>
      <c r="G24" s="1">
        <v>13846163</v>
      </c>
      <c r="H24" s="5">
        <v>16340891.0951041</v>
      </c>
      <c r="I24" s="1">
        <f t="shared" si="1"/>
        <v>1180174.6877531414</v>
      </c>
      <c r="J24" s="1">
        <f t="shared" si="2"/>
        <v>13.981173025953703</v>
      </c>
    </row>
    <row r="25" spans="1:10" x14ac:dyDescent="0.3">
      <c r="A25" t="s">
        <v>24</v>
      </c>
      <c r="B25" s="2">
        <v>0.40379685959544093</v>
      </c>
      <c r="C25" s="1">
        <v>56.879999999999995</v>
      </c>
      <c r="D25" s="1">
        <v>61.958150790257193</v>
      </c>
      <c r="E25" s="1">
        <v>246.01239454141108</v>
      </c>
      <c r="F25" s="3">
        <f t="shared" si="0"/>
        <v>1.348134888916381E-3</v>
      </c>
      <c r="G25" s="1">
        <v>13846163</v>
      </c>
      <c r="H25" s="5">
        <v>18248351.597750999</v>
      </c>
      <c r="I25" s="1">
        <f t="shared" si="1"/>
        <v>1317935.632980126</v>
      </c>
      <c r="J25" s="1">
        <f t="shared" si="2"/>
        <v>14.091577155962899</v>
      </c>
    </row>
    <row r="26" spans="1:10" x14ac:dyDescent="0.3">
      <c r="A26" t="s">
        <v>25</v>
      </c>
      <c r="B26" s="2">
        <v>0.42130707387726579</v>
      </c>
      <c r="C26" s="1">
        <v>61.753333333333337</v>
      </c>
      <c r="D26" s="1">
        <v>65.842355616656164</v>
      </c>
      <c r="E26" s="1">
        <v>-86.123562119999946</v>
      </c>
      <c r="F26" s="3">
        <f t="shared" si="0"/>
        <v>-5.3248056808918149E-4</v>
      </c>
      <c r="G26" s="1">
        <v>14086131</v>
      </c>
      <c r="H26" s="5">
        <v>16174029.116040099</v>
      </c>
      <c r="I26" s="1">
        <f t="shared" si="1"/>
        <v>1148223.675900792</v>
      </c>
      <c r="J26" s="1">
        <f t="shared" si="2"/>
        <v>13.953726676517709</v>
      </c>
    </row>
    <row r="27" spans="1:10" x14ac:dyDescent="0.3">
      <c r="A27" t="s">
        <v>26</v>
      </c>
      <c r="B27" s="2">
        <v>0.42130707387726579</v>
      </c>
      <c r="C27" s="1">
        <v>69.533333333333346</v>
      </c>
      <c r="D27" s="1">
        <v>65.842355616656164</v>
      </c>
      <c r="E27" s="1">
        <v>-14.890728559999957</v>
      </c>
      <c r="F27" s="3">
        <f t="shared" si="0"/>
        <v>-8.9330596541624339E-5</v>
      </c>
      <c r="G27" s="1">
        <v>14086131</v>
      </c>
      <c r="H27" s="5">
        <v>16669236.674202099</v>
      </c>
      <c r="I27" s="1">
        <f t="shared" si="1"/>
        <v>1183379.3590448718</v>
      </c>
      <c r="J27" s="1">
        <f t="shared" si="2"/>
        <v>13.983884766994596</v>
      </c>
    </row>
    <row r="28" spans="1:10" x14ac:dyDescent="0.3">
      <c r="A28" t="s">
        <v>27</v>
      </c>
      <c r="B28" s="2">
        <v>0.42130707387726579</v>
      </c>
      <c r="C28" s="1">
        <v>69.62</v>
      </c>
      <c r="D28" s="1">
        <v>65.842355616656164</v>
      </c>
      <c r="E28" s="1">
        <v>225.16514932000001</v>
      </c>
      <c r="F28" s="3">
        <f t="shared" si="0"/>
        <v>1.3063613245199461E-3</v>
      </c>
      <c r="G28" s="1">
        <v>14086131</v>
      </c>
      <c r="H28" s="5">
        <v>17236054.458573502</v>
      </c>
      <c r="I28" s="1">
        <f t="shared" si="1"/>
        <v>1223618.7820895249</v>
      </c>
      <c r="J28" s="1">
        <f t="shared" si="2"/>
        <v>14.017323241001755</v>
      </c>
    </row>
    <row r="29" spans="1:10" x14ac:dyDescent="0.3">
      <c r="A29" t="s">
        <v>28</v>
      </c>
      <c r="B29" s="2">
        <v>0.42130707387726579</v>
      </c>
      <c r="C29" s="1">
        <v>59.68</v>
      </c>
      <c r="D29" s="1">
        <v>65.842355616656164</v>
      </c>
      <c r="E29" s="1">
        <v>147.27799388999998</v>
      </c>
      <c r="F29" s="3">
        <f t="shared" si="0"/>
        <v>7.810109353913572E-4</v>
      </c>
      <c r="G29" s="1">
        <v>14086131</v>
      </c>
      <c r="H29" s="5">
        <v>18857353.619024601</v>
      </c>
      <c r="I29" s="1">
        <f t="shared" si="1"/>
        <v>1338717.7514552861</v>
      </c>
      <c r="J29" s="1">
        <f t="shared" si="2"/>
        <v>14.107222811905157</v>
      </c>
    </row>
    <row r="30" spans="1:10" x14ac:dyDescent="0.3">
      <c r="A30" t="s">
        <v>29</v>
      </c>
      <c r="B30" s="2">
        <v>0.4070541079243829</v>
      </c>
      <c r="C30" s="1">
        <v>57.763333333333328</v>
      </c>
      <c r="D30" s="1">
        <v>68.850585446267687</v>
      </c>
      <c r="E30" s="1">
        <v>232.41284216000005</v>
      </c>
      <c r="F30" s="3">
        <f t="shared" si="0"/>
        <v>1.4119328336928752E-3</v>
      </c>
      <c r="G30" s="1">
        <v>14328773</v>
      </c>
      <c r="H30" s="5">
        <v>16460616.0161408</v>
      </c>
      <c r="I30" s="1">
        <f t="shared" si="1"/>
        <v>1148780.5701256348</v>
      </c>
      <c r="J30" s="1">
        <f t="shared" si="2"/>
        <v>13.954211563941593</v>
      </c>
    </row>
    <row r="31" spans="1:10" x14ac:dyDescent="0.3">
      <c r="A31" t="s">
        <v>30</v>
      </c>
      <c r="B31" s="2">
        <v>0.4070541079243829</v>
      </c>
      <c r="C31" s="1">
        <v>68.583333333333329</v>
      </c>
      <c r="D31" s="1">
        <v>68.850585446267687</v>
      </c>
      <c r="E31" s="1">
        <v>59.790115360000016</v>
      </c>
      <c r="F31" s="3">
        <f t="shared" si="0"/>
        <v>3.5471733922128642E-4</v>
      </c>
      <c r="G31" s="1">
        <v>14328773</v>
      </c>
      <c r="H31" s="4">
        <v>16855706.995112699</v>
      </c>
      <c r="I31" s="1">
        <f t="shared" si="1"/>
        <v>1176353.8298159025</v>
      </c>
      <c r="J31" s="1">
        <f t="shared" si="2"/>
        <v>13.977930237880489</v>
      </c>
    </row>
    <row r="32" spans="1:10" x14ac:dyDescent="0.3">
      <c r="A32" t="s">
        <v>31</v>
      </c>
      <c r="B32" s="2">
        <v>0.4070541079243829</v>
      </c>
      <c r="C32" s="1">
        <v>74.953333333333333</v>
      </c>
      <c r="D32" s="1">
        <v>68.850585446267687</v>
      </c>
      <c r="E32" s="1">
        <v>188.00137799000004</v>
      </c>
      <c r="F32" s="3">
        <f t="shared" si="0"/>
        <v>1.07436755614054E-3</v>
      </c>
      <c r="G32" s="1">
        <v>14328773</v>
      </c>
      <c r="H32" s="5">
        <v>17498795.167024501</v>
      </c>
      <c r="I32" s="1">
        <f t="shared" si="1"/>
        <v>1221234.7258920565</v>
      </c>
      <c r="J32" s="1">
        <f t="shared" si="2"/>
        <v>14.015372975314802</v>
      </c>
    </row>
    <row r="33" spans="1:10" x14ac:dyDescent="0.3">
      <c r="A33" t="s">
        <v>32</v>
      </c>
      <c r="B33" s="2">
        <v>0.4070541079243829</v>
      </c>
      <c r="C33" s="1">
        <v>88.56</v>
      </c>
      <c r="D33" s="1">
        <v>68.850585446267687</v>
      </c>
      <c r="E33" s="1">
        <v>-286.04580857999997</v>
      </c>
      <c r="F33" s="3">
        <f t="shared" si="0"/>
        <v>-1.4719570440792564E-3</v>
      </c>
      <c r="G33" s="1">
        <v>14328773</v>
      </c>
      <c r="H33" s="5">
        <v>19433026.916823398</v>
      </c>
      <c r="I33" s="1">
        <f t="shared" si="1"/>
        <v>1356224.0756290436</v>
      </c>
      <c r="J33" s="1">
        <f t="shared" si="2"/>
        <v>14.120214981344656</v>
      </c>
    </row>
    <row r="34" spans="1:10" x14ac:dyDescent="0.3">
      <c r="A34" t="s">
        <v>33</v>
      </c>
      <c r="B34" s="2">
        <v>0.43440376875280184</v>
      </c>
      <c r="C34" s="1">
        <v>96.936666666666667</v>
      </c>
      <c r="D34" s="1">
        <v>74.590296364843908</v>
      </c>
      <c r="E34" s="1">
        <v>425.1417704160732</v>
      </c>
      <c r="F34" s="3">
        <f t="shared" ref="F34:F65" si="3">E34/H34*100</f>
        <v>2.4413187685298396E-3</v>
      </c>
      <c r="G34" s="1">
        <v>14575202</v>
      </c>
      <c r="H34" s="5">
        <v>17414430.917273998</v>
      </c>
      <c r="I34" s="1">
        <f t="shared" ref="I34:I65" si="4">(H34*1000000)/G34</f>
        <v>1194798.5981445746</v>
      </c>
      <c r="J34" s="1">
        <f t="shared" si="2"/>
        <v>13.993488192026261</v>
      </c>
    </row>
    <row r="35" spans="1:10" x14ac:dyDescent="0.3">
      <c r="A35" t="s">
        <v>34</v>
      </c>
      <c r="B35" s="2">
        <v>0.43440376875280184</v>
      </c>
      <c r="C35" s="1">
        <v>121.39666666666666</v>
      </c>
      <c r="D35" s="1">
        <v>74.590296364843908</v>
      </c>
      <c r="E35" s="1">
        <v>110.04957623607308</v>
      </c>
      <c r="F35" s="3">
        <f t="shared" si="3"/>
        <v>6.1171521571475474E-4</v>
      </c>
      <c r="G35" s="1">
        <v>14575202</v>
      </c>
      <c r="H35" s="5">
        <v>17990328.409190599</v>
      </c>
      <c r="I35" s="1">
        <f t="shared" si="4"/>
        <v>1234310.7429448043</v>
      </c>
      <c r="J35" s="1">
        <f t="shared" si="2"/>
        <v>14.026023269368132</v>
      </c>
    </row>
    <row r="36" spans="1:10" x14ac:dyDescent="0.3">
      <c r="A36" t="s">
        <v>35</v>
      </c>
      <c r="B36" s="2">
        <v>0.43440376875280184</v>
      </c>
      <c r="C36" s="1">
        <v>114.39666666666666</v>
      </c>
      <c r="D36" s="1">
        <v>74.590296364843908</v>
      </c>
      <c r="E36" s="1">
        <v>308.82798730633488</v>
      </c>
      <c r="F36" s="3">
        <f t="shared" si="3"/>
        <v>1.6534679572646743E-3</v>
      </c>
      <c r="G36" s="1">
        <v>14575202</v>
      </c>
      <c r="H36" s="5">
        <v>18677591.2983054</v>
      </c>
      <c r="I36" s="1">
        <f t="shared" si="4"/>
        <v>1281463.6324289294</v>
      </c>
      <c r="J36" s="1">
        <f t="shared" si="2"/>
        <v>14.063513445475209</v>
      </c>
    </row>
    <row r="37" spans="1:10" x14ac:dyDescent="0.3">
      <c r="A37" t="s">
        <v>36</v>
      </c>
      <c r="B37" s="2">
        <v>0.43440376875280184</v>
      </c>
      <c r="C37" s="1">
        <v>54.660000000000004</v>
      </c>
      <c r="D37" s="1">
        <v>74.590296364843908</v>
      </c>
      <c r="E37" s="1">
        <v>213.34868619633491</v>
      </c>
      <c r="F37" s="3">
        <f t="shared" si="3"/>
        <v>1.0268240810436466E-3</v>
      </c>
      <c r="G37" s="1">
        <v>14575202</v>
      </c>
      <c r="H37" s="5">
        <v>20777530.458721898</v>
      </c>
      <c r="I37" s="1">
        <f t="shared" si="4"/>
        <v>1425539.7941463795</v>
      </c>
      <c r="J37" s="1">
        <f t="shared" si="2"/>
        <v>14.170061102866919</v>
      </c>
    </row>
    <row r="38" spans="1:10" x14ac:dyDescent="0.3">
      <c r="A38" t="s">
        <v>37</v>
      </c>
      <c r="B38" s="2">
        <v>0.33530234472494702</v>
      </c>
      <c r="C38" s="1">
        <v>44.433333333333337</v>
      </c>
      <c r="D38" s="1">
        <v>57.347346062760849</v>
      </c>
      <c r="E38" s="1">
        <v>147.15351606896175</v>
      </c>
      <c r="F38" s="3">
        <f t="shared" si="3"/>
        <v>8.0934115088496456E-4</v>
      </c>
      <c r="G38" s="1">
        <v>14825954</v>
      </c>
      <c r="H38" s="5">
        <v>18181889.788757</v>
      </c>
      <c r="I38" s="1">
        <f t="shared" si="4"/>
        <v>1226355.4701948354</v>
      </c>
      <c r="J38" s="1">
        <f t="shared" si="2"/>
        <v>14.019557296515599</v>
      </c>
    </row>
    <row r="39" spans="1:10" x14ac:dyDescent="0.3">
      <c r="A39" t="s">
        <v>38</v>
      </c>
      <c r="B39" s="2">
        <v>0.33530234472494702</v>
      </c>
      <c r="C39" s="1">
        <v>58.696666666666665</v>
      </c>
      <c r="D39" s="1">
        <v>57.347346062760849</v>
      </c>
      <c r="E39" s="1">
        <v>203.6228445794809</v>
      </c>
      <c r="F39" s="3">
        <f t="shared" si="3"/>
        <v>1.10508742865799E-3</v>
      </c>
      <c r="G39" s="1">
        <v>14825954</v>
      </c>
      <c r="H39" s="5">
        <v>18425948.870557599</v>
      </c>
      <c r="I39" s="1">
        <f t="shared" si="4"/>
        <v>1242817.0808136594</v>
      </c>
      <c r="J39" s="1">
        <f t="shared" si="2"/>
        <v>14.032891200221888</v>
      </c>
    </row>
    <row r="40" spans="1:10" x14ac:dyDescent="0.3">
      <c r="A40" t="s">
        <v>39</v>
      </c>
      <c r="B40" s="2">
        <v>0.33530234472494702</v>
      </c>
      <c r="C40" s="1">
        <v>68.2</v>
      </c>
      <c r="D40" s="1">
        <v>57.347346062760849</v>
      </c>
      <c r="E40" s="1">
        <v>119.49680534751553</v>
      </c>
      <c r="F40" s="3">
        <f t="shared" si="3"/>
        <v>6.3868994455491888E-4</v>
      </c>
      <c r="G40" s="1">
        <v>14825954</v>
      </c>
      <c r="H40" s="5">
        <v>18709673.820023701</v>
      </c>
      <c r="I40" s="1">
        <f t="shared" si="4"/>
        <v>1261954.1258541406</v>
      </c>
      <c r="J40" s="1">
        <f t="shared" si="2"/>
        <v>14.04817197106931</v>
      </c>
    </row>
    <row r="41" spans="1:10" x14ac:dyDescent="0.3">
      <c r="A41" t="s">
        <v>40</v>
      </c>
      <c r="B41" s="2">
        <v>0.33530234472494702</v>
      </c>
      <c r="C41" s="1">
        <v>74.63</v>
      </c>
      <c r="D41" s="1">
        <v>57.347346062760849</v>
      </c>
      <c r="E41" s="1">
        <v>-161.66227588695827</v>
      </c>
      <c r="F41" s="3">
        <f t="shared" si="3"/>
        <v>-7.9405417735979892E-4</v>
      </c>
      <c r="G41" s="1">
        <v>14825954</v>
      </c>
      <c r="H41" s="5">
        <v>20359098.9753973</v>
      </c>
      <c r="I41" s="1">
        <f t="shared" si="4"/>
        <v>1373206.6736074658</v>
      </c>
      <c r="J41" s="1">
        <f t="shared" si="2"/>
        <v>14.132659200448611</v>
      </c>
    </row>
    <row r="42" spans="1:10" x14ac:dyDescent="0.3">
      <c r="A42" t="s">
        <v>41</v>
      </c>
      <c r="B42" s="2">
        <v>0.37896187977742785</v>
      </c>
      <c r="C42" s="1">
        <v>76.25</v>
      </c>
      <c r="D42" s="1">
        <v>65.777384913506225</v>
      </c>
      <c r="E42" s="1">
        <v>-174.89227950733459</v>
      </c>
      <c r="F42" s="3">
        <f t="shared" si="3"/>
        <v>-9.6174290707337574E-4</v>
      </c>
      <c r="G42" s="1">
        <v>15076695</v>
      </c>
      <c r="H42" s="5">
        <v>18184930.527799699</v>
      </c>
      <c r="I42" s="1">
        <f t="shared" si="4"/>
        <v>1206161.5976047602</v>
      </c>
      <c r="J42" s="1">
        <f t="shared" si="2"/>
        <v>14.002953641989928</v>
      </c>
    </row>
    <row r="43" spans="1:10" x14ac:dyDescent="0.3">
      <c r="A43" t="s">
        <v>42</v>
      </c>
      <c r="B43" s="2">
        <v>0.37896187977742785</v>
      </c>
      <c r="C43" s="1">
        <v>78.510000000000005</v>
      </c>
      <c r="D43" s="1">
        <v>65.777384913506225</v>
      </c>
      <c r="E43" s="1">
        <v>212.27247935266544</v>
      </c>
      <c r="F43" s="3">
        <f t="shared" si="3"/>
        <v>1.1295228119202927E-3</v>
      </c>
      <c r="G43" s="1">
        <v>15076695</v>
      </c>
      <c r="H43" s="5">
        <v>18793111.313244101</v>
      </c>
      <c r="I43" s="1">
        <f t="shared" si="4"/>
        <v>1246500.7293205906</v>
      </c>
      <c r="J43" s="1">
        <f t="shared" si="2"/>
        <v>14.035850767040316</v>
      </c>
    </row>
    <row r="44" spans="1:10" x14ac:dyDescent="0.3">
      <c r="A44" t="s">
        <v>43</v>
      </c>
      <c r="B44" s="2">
        <v>0.37896187977742785</v>
      </c>
      <c r="C44" s="1">
        <v>76.819999999999993</v>
      </c>
      <c r="D44" s="1">
        <v>65.777384913506225</v>
      </c>
      <c r="E44" s="1">
        <v>159.37717551315438</v>
      </c>
      <c r="F44" s="3">
        <f t="shared" si="3"/>
        <v>8.1429915093411947E-4</v>
      </c>
      <c r="G44" s="1">
        <v>15076695</v>
      </c>
      <c r="H44" s="5">
        <v>19572312.623723801</v>
      </c>
      <c r="I44" s="1">
        <f t="shared" si="4"/>
        <v>1298183.2307229005</v>
      </c>
      <c r="J44" s="1">
        <f t="shared" si="2"/>
        <v>14.076476330168621</v>
      </c>
    </row>
    <row r="45" spans="1:10" x14ac:dyDescent="0.3">
      <c r="A45" t="s">
        <v>44</v>
      </c>
      <c r="B45" s="2">
        <v>0.37896187977742785</v>
      </c>
      <c r="C45" s="1">
        <v>86.466666666666683</v>
      </c>
      <c r="D45" s="1">
        <v>65.777384913506225</v>
      </c>
      <c r="E45" s="1">
        <v>-30.891054994845604</v>
      </c>
      <c r="F45" s="3">
        <f t="shared" si="3"/>
        <v>-1.3930343735547152E-4</v>
      </c>
      <c r="G45" s="1">
        <v>15076695</v>
      </c>
      <c r="H45" s="5">
        <v>22175371.678746499</v>
      </c>
      <c r="I45" s="1">
        <f t="shared" si="4"/>
        <v>1470837.7186609202</v>
      </c>
      <c r="J45" s="1">
        <f t="shared" si="2"/>
        <v>14.201342673076972</v>
      </c>
    </row>
    <row r="46" spans="1:10" x14ac:dyDescent="0.3">
      <c r="A46" t="s">
        <v>45</v>
      </c>
      <c r="B46" s="2">
        <v>0.39281891317627754</v>
      </c>
      <c r="C46" s="1">
        <v>104.96</v>
      </c>
      <c r="D46" s="1">
        <v>70.035683752524861</v>
      </c>
      <c r="E46" s="1">
        <v>193.35383346411288</v>
      </c>
      <c r="F46" s="3">
        <f t="shared" si="3"/>
        <v>9.8141775242957595E-4</v>
      </c>
      <c r="G46" s="1">
        <v>15326227</v>
      </c>
      <c r="H46" s="5">
        <v>19701481.146581098</v>
      </c>
      <c r="I46" s="1">
        <f t="shared" si="4"/>
        <v>1285474.9669687848</v>
      </c>
      <c r="J46" s="1">
        <f t="shared" ref="J46:J88" si="5">LN(I46)</f>
        <v>14.066638832117519</v>
      </c>
    </row>
    <row r="47" spans="1:10" x14ac:dyDescent="0.3">
      <c r="A47" t="s">
        <v>46</v>
      </c>
      <c r="B47" s="2">
        <v>0.39281891317627754</v>
      </c>
      <c r="C47" s="1">
        <v>117.36</v>
      </c>
      <c r="D47" s="1">
        <v>70.035683752524861</v>
      </c>
      <c r="E47" s="1">
        <v>159.81681291411289</v>
      </c>
      <c r="F47" s="3">
        <f t="shared" si="3"/>
        <v>7.7641587681639675E-4</v>
      </c>
      <c r="G47" s="1">
        <v>15326227</v>
      </c>
      <c r="H47" s="5">
        <v>20583918.707255598</v>
      </c>
      <c r="I47" s="1">
        <f t="shared" si="4"/>
        <v>1343051.9270826145</v>
      </c>
      <c r="J47" s="1">
        <f t="shared" si="5"/>
        <v>14.11045513974868</v>
      </c>
    </row>
    <row r="48" spans="1:10" x14ac:dyDescent="0.3">
      <c r="A48" t="s">
        <v>47</v>
      </c>
      <c r="B48" s="2">
        <v>0.39281891317627754</v>
      </c>
      <c r="C48" s="1">
        <v>113.33999999999999</v>
      </c>
      <c r="D48" s="1">
        <v>70.035683752524861</v>
      </c>
      <c r="E48" s="1">
        <v>67.355543319838716</v>
      </c>
      <c r="F48" s="3">
        <f t="shared" si="3"/>
        <v>3.1530641868549719E-4</v>
      </c>
      <c r="G48" s="1">
        <v>15326227</v>
      </c>
      <c r="H48" s="5">
        <v>21361932.1803349</v>
      </c>
      <c r="I48" s="1">
        <f t="shared" si="4"/>
        <v>1393815.4628882175</v>
      </c>
      <c r="J48" s="1">
        <f t="shared" si="5"/>
        <v>14.147555481975969</v>
      </c>
    </row>
    <row r="49" spans="1:10" x14ac:dyDescent="0.3">
      <c r="A49" t="s">
        <v>48</v>
      </c>
      <c r="B49" s="2">
        <v>0.39281891317627754</v>
      </c>
      <c r="C49" s="1">
        <v>109.39666666666666</v>
      </c>
      <c r="D49" s="1">
        <v>70.035683752524861</v>
      </c>
      <c r="E49" s="1">
        <v>225.55116898983869</v>
      </c>
      <c r="F49" s="3">
        <f t="shared" si="3"/>
        <v>9.4946931441943015E-4</v>
      </c>
      <c r="G49" s="1">
        <v>15326227</v>
      </c>
      <c r="H49" s="5">
        <v>23755498.525800802</v>
      </c>
      <c r="I49" s="1">
        <f t="shared" si="4"/>
        <v>1549989.9959592666</v>
      </c>
      <c r="J49" s="1">
        <f t="shared" si="5"/>
        <v>14.253759034654772</v>
      </c>
    </row>
    <row r="50" spans="1:10" x14ac:dyDescent="0.3">
      <c r="A50" t="s">
        <v>49</v>
      </c>
      <c r="B50" s="2">
        <v>0.39132818880459014</v>
      </c>
      <c r="C50" s="1">
        <v>118.49000000000001</v>
      </c>
      <c r="D50" s="1">
        <v>67.002929091689793</v>
      </c>
      <c r="E50" s="1">
        <v>109.51881978420155</v>
      </c>
      <c r="F50" s="3">
        <f t="shared" si="3"/>
        <v>5.1910717725229139E-4</v>
      </c>
      <c r="G50" s="1">
        <v>15572194</v>
      </c>
      <c r="H50" s="5">
        <v>21097535.265048798</v>
      </c>
      <c r="I50" s="1">
        <f t="shared" si="4"/>
        <v>1354820.9882980392</v>
      </c>
      <c r="J50" s="1">
        <f t="shared" si="5"/>
        <v>14.119179891611218</v>
      </c>
    </row>
    <row r="51" spans="1:10" x14ac:dyDescent="0.3">
      <c r="A51" t="s">
        <v>50</v>
      </c>
      <c r="B51" s="2">
        <v>0.39132818880459014</v>
      </c>
      <c r="C51" s="1">
        <v>108.41666666666667</v>
      </c>
      <c r="D51" s="1">
        <v>67.002929091689793</v>
      </c>
      <c r="E51" s="1">
        <v>181.2040759042016</v>
      </c>
      <c r="F51" s="3">
        <f t="shared" si="3"/>
        <v>8.3297511528090181E-4</v>
      </c>
      <c r="G51" s="1">
        <v>15572194</v>
      </c>
      <c r="H51" s="5">
        <v>21753840.250449099</v>
      </c>
      <c r="I51" s="1">
        <f t="shared" si="4"/>
        <v>1396966.9431583693</v>
      </c>
      <c r="J51" s="1">
        <f t="shared" si="5"/>
        <v>14.149813975223534</v>
      </c>
    </row>
    <row r="52" spans="1:10" x14ac:dyDescent="0.3">
      <c r="A52" t="s">
        <v>51</v>
      </c>
      <c r="B52" s="2">
        <v>0.39132818880459014</v>
      </c>
      <c r="C52" s="1">
        <v>109.61333333333334</v>
      </c>
      <c r="D52" s="1">
        <v>67.002929091689793</v>
      </c>
      <c r="E52" s="1">
        <v>86.052882489388139</v>
      </c>
      <c r="F52" s="3">
        <f t="shared" si="3"/>
        <v>3.8181218812647179E-4</v>
      </c>
      <c r="G52" s="1">
        <v>15572194</v>
      </c>
      <c r="H52" s="5">
        <v>22538013.4960186</v>
      </c>
      <c r="I52" s="1">
        <f t="shared" si="4"/>
        <v>1447324.2175135117</v>
      </c>
      <c r="J52" s="1">
        <f t="shared" si="5"/>
        <v>14.185227042376956</v>
      </c>
    </row>
    <row r="53" spans="1:10" x14ac:dyDescent="0.3">
      <c r="A53" t="s">
        <v>52</v>
      </c>
      <c r="B53" s="2">
        <v>0.39132818880459014</v>
      </c>
      <c r="C53" s="1">
        <v>110.08666666666666</v>
      </c>
      <c r="D53" s="1">
        <v>67.002929091689793</v>
      </c>
      <c r="E53" s="1">
        <v>190.6345226785881</v>
      </c>
      <c r="F53" s="3">
        <f t="shared" si="3"/>
        <v>7.6399064325254225E-4</v>
      </c>
      <c r="G53" s="1">
        <v>15572194</v>
      </c>
      <c r="H53" s="5">
        <v>24952468.2484328</v>
      </c>
      <c r="I53" s="1">
        <f t="shared" si="4"/>
        <v>1602373.3231446256</v>
      </c>
      <c r="J53" s="1">
        <f t="shared" si="5"/>
        <v>14.28699641513265</v>
      </c>
    </row>
    <row r="54" spans="1:10" x14ac:dyDescent="0.3">
      <c r="A54" t="s">
        <v>53</v>
      </c>
      <c r="B54" s="2">
        <v>0.39533342389052545</v>
      </c>
      <c r="C54" s="1">
        <v>112.49333333333333</v>
      </c>
      <c r="D54" s="1">
        <v>63.433300334241359</v>
      </c>
      <c r="E54" s="1">
        <v>113.93479050053881</v>
      </c>
      <c r="F54" s="3">
        <f t="shared" si="3"/>
        <v>5.1247514777868456E-4</v>
      </c>
      <c r="G54" s="1">
        <v>15807128</v>
      </c>
      <c r="H54" s="5">
        <v>22232256.723938201</v>
      </c>
      <c r="I54" s="1">
        <f t="shared" si="4"/>
        <v>1406470.3419835784</v>
      </c>
      <c r="J54" s="1">
        <f t="shared" si="5"/>
        <v>14.156593820293409</v>
      </c>
    </row>
    <row r="55" spans="1:10" x14ac:dyDescent="0.3">
      <c r="A55" t="s">
        <v>54</v>
      </c>
      <c r="B55" s="2">
        <v>0.39533342389052545</v>
      </c>
      <c r="C55" s="1">
        <v>102.57666666666667</v>
      </c>
      <c r="D55" s="1">
        <v>63.433300334241359</v>
      </c>
      <c r="E55" s="1">
        <v>281.99645614053878</v>
      </c>
      <c r="F55" s="3">
        <f t="shared" si="3"/>
        <v>1.2095594970734933E-3</v>
      </c>
      <c r="G55" s="1">
        <v>15807128</v>
      </c>
      <c r="H55" s="5">
        <v>23313979.744098902</v>
      </c>
      <c r="I55" s="1">
        <f t="shared" si="4"/>
        <v>1474902.9516366858</v>
      </c>
      <c r="J55" s="1">
        <f t="shared" si="5"/>
        <v>14.204102750090886</v>
      </c>
    </row>
    <row r="56" spans="1:10" x14ac:dyDescent="0.3">
      <c r="A56" t="s">
        <v>55</v>
      </c>
      <c r="B56" s="2">
        <v>0.39533342389052545</v>
      </c>
      <c r="C56" s="1">
        <v>110.27</v>
      </c>
      <c r="D56" s="1">
        <v>63.433300334241359</v>
      </c>
      <c r="E56" s="1">
        <v>115.86368074316958</v>
      </c>
      <c r="F56" s="3">
        <f t="shared" si="3"/>
        <v>4.7545339129971841E-4</v>
      </c>
      <c r="G56" s="1">
        <v>15807128</v>
      </c>
      <c r="H56" s="5">
        <v>24369093.346130099</v>
      </c>
      <c r="I56" s="1">
        <f t="shared" si="4"/>
        <v>1541652.1803410524</v>
      </c>
      <c r="J56" s="1">
        <f t="shared" si="5"/>
        <v>14.248365243680871</v>
      </c>
    </row>
    <row r="57" spans="1:10" x14ac:dyDescent="0.3">
      <c r="A57" t="s">
        <v>56</v>
      </c>
      <c r="B57" s="2">
        <v>0.39533342389052545</v>
      </c>
      <c r="C57" s="1">
        <v>109.21</v>
      </c>
      <c r="D57" s="1">
        <v>63.433300334241359</v>
      </c>
      <c r="E57" s="1">
        <v>215.26927887916958</v>
      </c>
      <c r="F57" s="3">
        <f t="shared" si="3"/>
        <v>7.990310142375409E-4</v>
      </c>
      <c r="G57" s="1">
        <v>15807128</v>
      </c>
      <c r="H57" s="5">
        <v>26941292.020383701</v>
      </c>
      <c r="I57" s="1">
        <f t="shared" si="4"/>
        <v>1704376.1536177665</v>
      </c>
      <c r="J57" s="1">
        <f t="shared" si="5"/>
        <v>14.348709709438536</v>
      </c>
    </row>
    <row r="58" spans="1:10" x14ac:dyDescent="0.3">
      <c r="A58" t="s">
        <v>57</v>
      </c>
      <c r="B58" s="2">
        <v>0.36234687465431398</v>
      </c>
      <c r="C58" s="1">
        <v>108.16666666666667</v>
      </c>
      <c r="D58" s="1">
        <v>61.426376621756496</v>
      </c>
      <c r="E58" s="1">
        <v>140.63599692477203</v>
      </c>
      <c r="F58" s="3">
        <f t="shared" si="3"/>
        <v>6.0070913589443877E-4</v>
      </c>
      <c r="G58" s="1">
        <v>16035124</v>
      </c>
      <c r="H58" s="5">
        <v>23411662.736803401</v>
      </c>
      <c r="I58" s="1">
        <f t="shared" si="4"/>
        <v>1460023.8037949319</v>
      </c>
      <c r="J58" s="1">
        <f t="shared" si="5"/>
        <v>14.193963297520742</v>
      </c>
    </row>
    <row r="59" spans="1:10" x14ac:dyDescent="0.3">
      <c r="A59" t="s">
        <v>58</v>
      </c>
      <c r="B59" s="2">
        <v>0.36234687465431398</v>
      </c>
      <c r="C59" s="1">
        <v>109.7</v>
      </c>
      <c r="D59" s="1">
        <v>61.426376621756496</v>
      </c>
      <c r="E59" s="1">
        <v>163.998156404772</v>
      </c>
      <c r="F59" s="3">
        <f t="shared" si="3"/>
        <v>6.7037863481739192E-4</v>
      </c>
      <c r="G59" s="1">
        <v>16035124</v>
      </c>
      <c r="H59" s="5">
        <v>24463511.795754701</v>
      </c>
      <c r="I59" s="1">
        <f t="shared" si="4"/>
        <v>1525620.3691193594</v>
      </c>
      <c r="J59" s="1">
        <f t="shared" si="5"/>
        <v>14.237911684725727</v>
      </c>
    </row>
    <row r="60" spans="1:10" x14ac:dyDescent="0.3">
      <c r="A60" t="s">
        <v>59</v>
      </c>
      <c r="B60" s="2">
        <v>0.36234687465431398</v>
      </c>
      <c r="C60" s="1">
        <v>101.82333333333332</v>
      </c>
      <c r="D60" s="1">
        <v>61.426376621756496</v>
      </c>
      <c r="E60" s="1">
        <v>142.71100894578717</v>
      </c>
      <c r="F60" s="3">
        <f t="shared" si="3"/>
        <v>5.6421250846099935E-4</v>
      </c>
      <c r="G60" s="1">
        <v>16035124</v>
      </c>
      <c r="H60" s="5">
        <v>25293839.963785902</v>
      </c>
      <c r="I60" s="1">
        <f t="shared" si="4"/>
        <v>1577402.2055448964</v>
      </c>
      <c r="J60" s="1">
        <f t="shared" si="5"/>
        <v>14.271289878160403</v>
      </c>
    </row>
    <row r="61" spans="1:10" x14ac:dyDescent="0.3">
      <c r="A61" t="s">
        <v>60</v>
      </c>
      <c r="B61" s="2">
        <v>0.36234687465431398</v>
      </c>
      <c r="C61" s="1">
        <v>76.403333333333336</v>
      </c>
      <c r="D61" s="1">
        <v>61.426376621756496</v>
      </c>
      <c r="E61" s="1">
        <v>329.41078381578723</v>
      </c>
      <c r="F61" s="3">
        <f t="shared" si="3"/>
        <v>1.185748462736829E-3</v>
      </c>
      <c r="G61" s="1">
        <v>16035124</v>
      </c>
      <c r="H61" s="5">
        <v>27780831.615456901</v>
      </c>
      <c r="I61" s="1">
        <f t="shared" si="4"/>
        <v>1732498.7081769309</v>
      </c>
      <c r="J61" s="1">
        <f t="shared" si="5"/>
        <v>14.365075264404895</v>
      </c>
    </row>
    <row r="62" spans="1:10" x14ac:dyDescent="0.3">
      <c r="A62" t="s">
        <v>61</v>
      </c>
      <c r="B62" s="2">
        <v>0.30557263849352834</v>
      </c>
      <c r="C62" s="1">
        <v>53.916666666666664</v>
      </c>
      <c r="D62" s="1">
        <v>47.828039707782644</v>
      </c>
      <c r="E62" s="1">
        <v>183.48751595934758</v>
      </c>
      <c r="F62" s="3">
        <f t="shared" si="3"/>
        <v>7.5659573742862662E-4</v>
      </c>
      <c r="G62" s="1">
        <v>16266225</v>
      </c>
      <c r="H62" s="5">
        <v>24251724.782768399</v>
      </c>
      <c r="I62" s="1">
        <f t="shared" si="4"/>
        <v>1490925.201315511</v>
      </c>
      <c r="J62" s="1">
        <f t="shared" si="5"/>
        <v>14.214907425698078</v>
      </c>
    </row>
    <row r="63" spans="1:10" x14ac:dyDescent="0.3">
      <c r="A63" t="s">
        <v>62</v>
      </c>
      <c r="B63" s="2">
        <v>0.30557263849352834</v>
      </c>
      <c r="C63" s="1">
        <v>61.693333333333335</v>
      </c>
      <c r="D63" s="1">
        <v>47.828039707782644</v>
      </c>
      <c r="E63" s="1">
        <v>97.730476129347565</v>
      </c>
      <c r="F63" s="3">
        <f t="shared" si="3"/>
        <v>4.0112512067210491E-4</v>
      </c>
      <c r="G63" s="1">
        <v>16266225</v>
      </c>
      <c r="H63" s="5">
        <v>24364087.6855569</v>
      </c>
      <c r="I63" s="1">
        <f t="shared" si="4"/>
        <v>1497832.9443713522</v>
      </c>
      <c r="J63" s="1">
        <f t="shared" si="5"/>
        <v>14.219529917729336</v>
      </c>
    </row>
    <row r="64" spans="1:10" x14ac:dyDescent="0.3">
      <c r="A64" t="s">
        <v>63</v>
      </c>
      <c r="B64" s="2">
        <v>0.30557263849352834</v>
      </c>
      <c r="C64" s="1">
        <v>50.233333333333327</v>
      </c>
      <c r="D64" s="1">
        <v>47.828039707782644</v>
      </c>
      <c r="E64" s="1">
        <v>264.05875619939104</v>
      </c>
      <c r="F64" s="3">
        <f t="shared" si="3"/>
        <v>1.0496786412318153E-3</v>
      </c>
      <c r="G64" s="1">
        <v>16266225</v>
      </c>
      <c r="H64" s="5">
        <v>25156152.161914401</v>
      </c>
      <c r="I64" s="1">
        <f t="shared" si="4"/>
        <v>1546526.7547887971</v>
      </c>
      <c r="J64" s="1">
        <f t="shared" si="5"/>
        <v>14.251522171176688</v>
      </c>
    </row>
    <row r="65" spans="1:10" x14ac:dyDescent="0.3">
      <c r="A65" t="s">
        <v>64</v>
      </c>
      <c r="B65" s="2">
        <v>0.30557263849352834</v>
      </c>
      <c r="C65" s="1">
        <v>43.57</v>
      </c>
      <c r="D65" s="1">
        <v>47.828039707782644</v>
      </c>
      <c r="E65" s="1">
        <v>788.61458901939102</v>
      </c>
      <c r="F65" s="3">
        <f t="shared" si="3"/>
        <v>2.888834629798138E-3</v>
      </c>
      <c r="G65" s="1">
        <v>16266225</v>
      </c>
      <c r="H65" s="5">
        <v>27298710.036389198</v>
      </c>
      <c r="I65" s="1">
        <f t="shared" si="4"/>
        <v>1678244.9545846807</v>
      </c>
      <c r="J65" s="1">
        <f t="shared" si="5"/>
        <v>14.333259135441455</v>
      </c>
    </row>
    <row r="66" spans="1:10" x14ac:dyDescent="0.3">
      <c r="A66" t="s">
        <v>65</v>
      </c>
      <c r="B66" s="2">
        <v>0.35800719157477878</v>
      </c>
      <c r="C66" s="1">
        <v>33.696666666666665</v>
      </c>
      <c r="D66" s="1">
        <v>40.534491799664693</v>
      </c>
      <c r="E66" s="1">
        <v>200.35993106782061</v>
      </c>
      <c r="F66" s="3">
        <f t="shared" ref="F66:F97" si="6">E66/H66*100</f>
        <v>8.6055755081517068E-4</v>
      </c>
      <c r="G66" s="1">
        <v>16505139</v>
      </c>
      <c r="H66" s="5">
        <v>23282571.9648881</v>
      </c>
      <c r="I66" s="1">
        <f t="shared" ref="I66:I97" si="7">(H66*1000000)/G66</f>
        <v>1410625.6218071291</v>
      </c>
      <c r="J66" s="1">
        <f t="shared" si="5"/>
        <v>14.159543867356414</v>
      </c>
    </row>
    <row r="67" spans="1:10" x14ac:dyDescent="0.3">
      <c r="A67" t="s">
        <v>66</v>
      </c>
      <c r="B67" s="2">
        <v>0.35800719157477878</v>
      </c>
      <c r="C67" s="1">
        <v>45.523333333333333</v>
      </c>
      <c r="D67" s="1">
        <v>40.534491799664693</v>
      </c>
      <c r="E67" s="1">
        <v>136.84584897782065</v>
      </c>
      <c r="F67" s="3">
        <f t="shared" si="6"/>
        <v>5.6378210205821526E-4</v>
      </c>
      <c r="G67" s="1">
        <v>16505139</v>
      </c>
      <c r="H67" s="5">
        <v>24272826.0578393</v>
      </c>
      <c r="I67" s="1">
        <f t="shared" si="7"/>
        <v>1470622.3351308524</v>
      </c>
      <c r="J67" s="1">
        <f t="shared" si="5"/>
        <v>14.201196226396403</v>
      </c>
    </row>
    <row r="68" spans="1:10" x14ac:dyDescent="0.3">
      <c r="A68" t="s">
        <v>67</v>
      </c>
      <c r="B68" s="2">
        <v>0.35800719157477878</v>
      </c>
      <c r="C68" s="1">
        <v>45.786666666666669</v>
      </c>
      <c r="D68" s="1">
        <v>40.534491799664693</v>
      </c>
      <c r="E68" s="1">
        <v>127.12997966329928</v>
      </c>
      <c r="F68" s="3">
        <f t="shared" si="6"/>
        <v>5.1642802592739238E-4</v>
      </c>
      <c r="G68" s="1">
        <v>16505139</v>
      </c>
      <c r="H68" s="5">
        <v>24617172.825777899</v>
      </c>
      <c r="I68" s="1">
        <f t="shared" si="7"/>
        <v>1491485.3383408585</v>
      </c>
      <c r="J68" s="1">
        <f t="shared" si="5"/>
        <v>14.215283052745049</v>
      </c>
    </row>
    <row r="69" spans="1:10" x14ac:dyDescent="0.3">
      <c r="A69" t="s">
        <v>68</v>
      </c>
      <c r="B69" s="2">
        <v>0.35800719157477878</v>
      </c>
      <c r="C69" s="1">
        <v>49.186666666666667</v>
      </c>
      <c r="D69" s="1">
        <v>40.534491799664693</v>
      </c>
      <c r="E69" s="1">
        <v>302.0891084132993</v>
      </c>
      <c r="F69" s="3">
        <f t="shared" si="6"/>
        <v>1.0711322593457955E-3</v>
      </c>
      <c r="G69" s="1">
        <v>16505139</v>
      </c>
      <c r="H69" s="5">
        <v>28202783.155630399</v>
      </c>
      <c r="I69" s="1">
        <f t="shared" si="7"/>
        <v>1708727.3942758313</v>
      </c>
      <c r="J69" s="1">
        <f t="shared" si="5"/>
        <v>14.351259437540442</v>
      </c>
    </row>
    <row r="70" spans="1:10" x14ac:dyDescent="0.3">
      <c r="A70" t="s">
        <v>69</v>
      </c>
      <c r="B70" s="2">
        <v>0.46468834341833298</v>
      </c>
      <c r="C70" s="1">
        <v>53.680000000000007</v>
      </c>
      <c r="D70" s="1">
        <v>43.617723317281701</v>
      </c>
      <c r="E70" s="1">
        <v>184.30815603186164</v>
      </c>
      <c r="F70" s="3">
        <f t="shared" si="6"/>
        <v>7.3822544108825285E-4</v>
      </c>
      <c r="G70" s="1">
        <v>16759519</v>
      </c>
      <c r="H70" s="5">
        <v>24966378.2597582</v>
      </c>
      <c r="I70" s="1">
        <f t="shared" si="7"/>
        <v>1489683.4604715207</v>
      </c>
      <c r="J70" s="1">
        <f t="shared" si="5"/>
        <v>14.214074212715945</v>
      </c>
    </row>
    <row r="71" spans="1:10" x14ac:dyDescent="0.3">
      <c r="A71" t="s">
        <v>70</v>
      </c>
      <c r="B71" s="2">
        <v>0.46468834341833298</v>
      </c>
      <c r="C71" s="1">
        <v>49.669999999999995</v>
      </c>
      <c r="D71" s="1">
        <v>43.617723317281701</v>
      </c>
      <c r="E71" s="1">
        <v>187.34043844186164</v>
      </c>
      <c r="F71" s="3">
        <f t="shared" si="6"/>
        <v>7.1280561345079283E-4</v>
      </c>
      <c r="G71" s="1">
        <v>16759519</v>
      </c>
      <c r="H71" s="5">
        <v>26282121.648133501</v>
      </c>
      <c r="I71" s="1">
        <f t="shared" si="7"/>
        <v>1568190.6890128232</v>
      </c>
      <c r="J71" s="1">
        <f t="shared" si="5"/>
        <v>14.265433085389073</v>
      </c>
    </row>
    <row r="72" spans="1:10" x14ac:dyDescent="0.3">
      <c r="A72" t="s">
        <v>71</v>
      </c>
      <c r="B72" s="2">
        <v>0.46468834341833298</v>
      </c>
      <c r="C72" s="1">
        <v>52.109999999999992</v>
      </c>
      <c r="D72" s="1">
        <v>43.617723317281701</v>
      </c>
      <c r="E72" s="1">
        <v>160.23324019773753</v>
      </c>
      <c r="F72" s="3">
        <f t="shared" si="6"/>
        <v>6.1564954484602508E-4</v>
      </c>
      <c r="G72" s="1">
        <v>16759519</v>
      </c>
      <c r="H72" s="5">
        <v>26026696.769151699</v>
      </c>
      <c r="I72" s="1">
        <f t="shared" si="7"/>
        <v>1552950.1037083284</v>
      </c>
      <c r="J72" s="1">
        <f t="shared" si="5"/>
        <v>14.255666972643866</v>
      </c>
    </row>
    <row r="73" spans="1:10" x14ac:dyDescent="0.3">
      <c r="A73" t="s">
        <v>72</v>
      </c>
      <c r="B73" s="2">
        <v>0.46468834341833298</v>
      </c>
      <c r="C73" s="1">
        <v>61.53</v>
      </c>
      <c r="D73" s="1">
        <v>43.617723317281701</v>
      </c>
      <c r="E73" s="1">
        <v>100.43857758773754</v>
      </c>
      <c r="F73" s="3">
        <f t="shared" si="6"/>
        <v>3.4523318324361854E-4</v>
      </c>
      <c r="G73" s="1">
        <v>16759519</v>
      </c>
      <c r="H73" s="5">
        <v>29092967.438434701</v>
      </c>
      <c r="I73" s="1">
        <f t="shared" si="7"/>
        <v>1735907.0650198674</v>
      </c>
      <c r="J73" s="1">
        <f t="shared" si="5"/>
        <v>14.367040638794707</v>
      </c>
    </row>
    <row r="74" spans="1:10" x14ac:dyDescent="0.3">
      <c r="A74" t="s">
        <v>73</v>
      </c>
      <c r="B74" s="2">
        <v>0.46046470204980255</v>
      </c>
      <c r="C74" s="1">
        <v>66.806666666666658</v>
      </c>
      <c r="D74" s="1">
        <v>48.009347615483556</v>
      </c>
      <c r="E74" s="1">
        <v>331.99396017043659</v>
      </c>
      <c r="F74" s="3">
        <f t="shared" si="6"/>
        <v>1.3195427479142782E-3</v>
      </c>
      <c r="G74" s="1">
        <v>17049547</v>
      </c>
      <c r="H74" s="5">
        <v>25159773.011916399</v>
      </c>
      <c r="I74" s="1">
        <f t="shared" si="7"/>
        <v>1475685.7183311908</v>
      </c>
      <c r="J74" s="1">
        <f t="shared" si="5"/>
        <v>14.20463333351028</v>
      </c>
    </row>
    <row r="75" spans="1:10" x14ac:dyDescent="0.3">
      <c r="A75" t="s">
        <v>74</v>
      </c>
      <c r="B75" s="2">
        <v>0.46046470204980255</v>
      </c>
      <c r="C75" s="1">
        <v>74.5</v>
      </c>
      <c r="D75" s="1">
        <v>48.009347615483556</v>
      </c>
      <c r="E75" s="1">
        <v>222.33244460643664</v>
      </c>
      <c r="F75" s="3">
        <f t="shared" si="6"/>
        <v>8.2000271225963421E-4</v>
      </c>
      <c r="G75" s="1">
        <v>17049547</v>
      </c>
      <c r="H75" s="5">
        <v>27113623.074949101</v>
      </c>
      <c r="I75" s="1">
        <f t="shared" si="7"/>
        <v>1590284.0746999965</v>
      </c>
      <c r="J75" s="1">
        <f t="shared" si="5"/>
        <v>14.279423221571353</v>
      </c>
    </row>
    <row r="76" spans="1:10" x14ac:dyDescent="0.3">
      <c r="A76" t="s">
        <v>75</v>
      </c>
      <c r="B76" s="2">
        <v>0.46046470204980255</v>
      </c>
      <c r="C76" s="1">
        <v>75.223333333333343</v>
      </c>
      <c r="D76" s="1">
        <v>48.009347615483556</v>
      </c>
      <c r="E76" s="1">
        <v>230.57026838667423</v>
      </c>
      <c r="F76" s="3">
        <f t="shared" si="6"/>
        <v>8.7180272029595079E-4</v>
      </c>
      <c r="G76" s="1">
        <v>17049547</v>
      </c>
      <c r="H76" s="5">
        <v>26447527.980688401</v>
      </c>
      <c r="I76" s="1">
        <f t="shared" si="7"/>
        <v>1551215.8757466343</v>
      </c>
      <c r="J76" s="1">
        <f t="shared" si="5"/>
        <v>14.254549617351911</v>
      </c>
    </row>
    <row r="77" spans="1:10" x14ac:dyDescent="0.3">
      <c r="A77" t="s">
        <v>76</v>
      </c>
      <c r="B77" s="2">
        <v>0.46046470204980255</v>
      </c>
      <c r="C77" s="1">
        <v>67.713333333333324</v>
      </c>
      <c r="D77" s="1">
        <v>48.009347615483556</v>
      </c>
      <c r="E77" s="1">
        <v>605.24708997667415</v>
      </c>
      <c r="F77" s="3">
        <f t="shared" si="6"/>
        <v>2.104618932775863E-3</v>
      </c>
      <c r="G77" s="1">
        <v>17049547</v>
      </c>
      <c r="H77" s="5">
        <v>28758036.932528701</v>
      </c>
      <c r="I77" s="1">
        <f t="shared" si="7"/>
        <v>1686733.1978103993</v>
      </c>
      <c r="J77" s="1">
        <f t="shared" si="5"/>
        <v>14.338304197159726</v>
      </c>
    </row>
    <row r="78" spans="1:10" x14ac:dyDescent="0.3">
      <c r="A78" t="s">
        <v>77</v>
      </c>
      <c r="B78" s="2">
        <v>0.46997311962680488</v>
      </c>
      <c r="C78" s="1">
        <v>63.169999999999995</v>
      </c>
      <c r="D78" s="1">
        <v>48.082849493330734</v>
      </c>
      <c r="E78" s="1">
        <v>214.08865575992061</v>
      </c>
      <c r="F78" s="3">
        <f t="shared" si="6"/>
        <v>8.4758700259835731E-4</v>
      </c>
      <c r="G78" s="1">
        <v>17340021</v>
      </c>
      <c r="H78" s="5">
        <v>25258605.323537499</v>
      </c>
      <c r="I78" s="1">
        <f t="shared" si="7"/>
        <v>1456665.2095483332</v>
      </c>
      <c r="J78" s="1">
        <f t="shared" si="5"/>
        <v>14.191660278093094</v>
      </c>
    </row>
    <row r="79" spans="1:10" x14ac:dyDescent="0.3">
      <c r="A79" t="s">
        <v>78</v>
      </c>
      <c r="B79" s="2">
        <v>0.46997311962680488</v>
      </c>
      <c r="C79" s="1">
        <v>68.923333333333332</v>
      </c>
      <c r="D79" s="1">
        <v>48.082849493330734</v>
      </c>
      <c r="E79" s="1">
        <v>280.69931804992058</v>
      </c>
      <c r="F79" s="3">
        <f t="shared" si="6"/>
        <v>1.0274759227663624E-3</v>
      </c>
      <c r="G79" s="1">
        <v>17340021</v>
      </c>
      <c r="H79" s="5">
        <v>27319308.592085499</v>
      </c>
      <c r="I79" s="1">
        <f t="shared" si="7"/>
        <v>1575506.084570803</v>
      </c>
      <c r="J79" s="1">
        <f t="shared" si="5"/>
        <v>14.270087102165537</v>
      </c>
    </row>
    <row r="80" spans="1:10" x14ac:dyDescent="0.3">
      <c r="A80" t="s">
        <v>79</v>
      </c>
      <c r="B80" s="2">
        <v>0.46997311962680488</v>
      </c>
      <c r="C80" s="1">
        <v>61.930000000000007</v>
      </c>
      <c r="D80" s="1">
        <v>48.082849493330734</v>
      </c>
      <c r="E80" s="1">
        <v>152.44747179659251</v>
      </c>
      <c r="F80" s="3">
        <f t="shared" si="6"/>
        <v>5.7301770006191089E-4</v>
      </c>
      <c r="G80" s="1">
        <v>17340021</v>
      </c>
      <c r="H80" s="5">
        <v>26604321.608236801</v>
      </c>
      <c r="I80" s="1">
        <f t="shared" si="7"/>
        <v>1534272.7444353614</v>
      </c>
      <c r="J80" s="1">
        <f t="shared" si="5"/>
        <v>14.24356704460642</v>
      </c>
    </row>
    <row r="81" spans="1:10" x14ac:dyDescent="0.3">
      <c r="A81" t="s">
        <v>80</v>
      </c>
      <c r="B81" s="2">
        <v>0.46997311962680488</v>
      </c>
      <c r="C81" s="1">
        <v>63.410000000000004</v>
      </c>
      <c r="D81" s="1">
        <v>48.082849493330734</v>
      </c>
      <c r="E81" s="1">
        <v>337.32905063659251</v>
      </c>
      <c r="F81" s="3">
        <f t="shared" si="6"/>
        <v>1.1846706526746264E-3</v>
      </c>
      <c r="G81" s="1">
        <v>17340021</v>
      </c>
      <c r="H81" s="5">
        <v>28474500.476145498</v>
      </c>
      <c r="I81" s="1">
        <f t="shared" si="7"/>
        <v>1642126.0664070419</v>
      </c>
      <c r="J81" s="1">
        <f t="shared" si="5"/>
        <v>14.311502342178338</v>
      </c>
    </row>
    <row r="82" spans="1:10" x14ac:dyDescent="0.3">
      <c r="A82" t="s">
        <v>81</v>
      </c>
      <c r="B82" s="2">
        <v>0.54803282765122163</v>
      </c>
      <c r="C82" s="1">
        <v>50.44</v>
      </c>
      <c r="D82" s="1">
        <v>43.989310937838901</v>
      </c>
      <c r="E82" s="1">
        <v>280.15563892295194</v>
      </c>
      <c r="F82" s="3">
        <f t="shared" si="6"/>
        <v>1.1257745091062513E-3</v>
      </c>
      <c r="G82" s="1">
        <v>17546065</v>
      </c>
      <c r="H82" s="5">
        <v>24885590.911573101</v>
      </c>
      <c r="I82" s="1">
        <f t="shared" si="7"/>
        <v>1418300.3945085751</v>
      </c>
      <c r="J82" s="1">
        <f t="shared" si="5"/>
        <v>14.164969807438604</v>
      </c>
    </row>
    <row r="83" spans="1:10" x14ac:dyDescent="0.3">
      <c r="A83" t="s">
        <v>82</v>
      </c>
      <c r="B83" s="2">
        <v>0.54803282765122163</v>
      </c>
      <c r="C83" s="1">
        <v>29.343333333333334</v>
      </c>
      <c r="D83" s="1">
        <v>43.989310937838901</v>
      </c>
      <c r="E83" s="1">
        <v>176.52339341060252</v>
      </c>
      <c r="F83" s="3">
        <f t="shared" si="6"/>
        <v>7.8409392936606764E-4</v>
      </c>
      <c r="G83" s="1">
        <v>17546065</v>
      </c>
      <c r="H83" s="5">
        <v>22513041.715973999</v>
      </c>
      <c r="I83" s="1">
        <f t="shared" si="7"/>
        <v>1283082.0879766489</v>
      </c>
      <c r="J83" s="1">
        <f t="shared" si="5"/>
        <v>14.064775622826701</v>
      </c>
    </row>
    <row r="84" spans="1:10" x14ac:dyDescent="0.3">
      <c r="A84" t="s">
        <v>83</v>
      </c>
      <c r="B84" s="2">
        <v>0.54803282765122163</v>
      </c>
      <c r="C84" s="1">
        <v>42.963333333333338</v>
      </c>
      <c r="D84" s="1">
        <v>43.989310937838901</v>
      </c>
      <c r="E84" s="1">
        <v>545.28529921522886</v>
      </c>
      <c r="F84" s="3">
        <f t="shared" si="6"/>
        <v>2.2951305438913914E-3</v>
      </c>
      <c r="G84" s="1">
        <v>17546065</v>
      </c>
      <c r="H84" s="5">
        <v>23758356.6070581</v>
      </c>
      <c r="I84" s="1">
        <f t="shared" si="7"/>
        <v>1354056.1149783784</v>
      </c>
      <c r="J84" s="1">
        <f t="shared" si="5"/>
        <v>14.11861517544963</v>
      </c>
    </row>
    <row r="85" spans="1:10" x14ac:dyDescent="0.3">
      <c r="A85" t="s">
        <v>84</v>
      </c>
      <c r="B85" s="2">
        <v>0.54803282765122163</v>
      </c>
      <c r="C85" s="1">
        <v>44.29</v>
      </c>
      <c r="D85" s="1">
        <v>43.989310937838901</v>
      </c>
      <c r="E85" s="1">
        <v>117.31056921522904</v>
      </c>
      <c r="F85" s="3">
        <f t="shared" si="6"/>
        <v>4.4190134655553955E-4</v>
      </c>
      <c r="G85" s="1">
        <v>17546065</v>
      </c>
      <c r="H85" s="5">
        <v>26546777.947074</v>
      </c>
      <c r="I85" s="1">
        <f t="shared" si="7"/>
        <v>1512976.1543157396</v>
      </c>
      <c r="J85" s="1">
        <f t="shared" si="5"/>
        <v>14.229589232114728</v>
      </c>
    </row>
    <row r="86" spans="1:10" x14ac:dyDescent="0.3">
      <c r="A86" t="s">
        <v>85</v>
      </c>
      <c r="B86" s="2">
        <v>0.50630601906790584</v>
      </c>
      <c r="C86" s="1">
        <v>60.82</v>
      </c>
      <c r="D86" s="1">
        <v>53.261275610573009</v>
      </c>
      <c r="E86" s="1">
        <v>250.67577653160924</v>
      </c>
      <c r="F86" s="3">
        <f t="shared" si="6"/>
        <v>1.0390385366620557E-3</v>
      </c>
      <c r="G86" s="1">
        <v>17682454</v>
      </c>
      <c r="H86" s="5">
        <v>24125743.914841998</v>
      </c>
      <c r="I86" s="1">
        <f t="shared" si="7"/>
        <v>1364388.8973126693</v>
      </c>
      <c r="J86" s="1">
        <f t="shared" si="5"/>
        <v>14.126217192079761</v>
      </c>
    </row>
    <row r="87" spans="1:10" x14ac:dyDescent="0.3">
      <c r="A87" t="s">
        <v>86</v>
      </c>
      <c r="B87" s="2">
        <v>0.50630601906790584</v>
      </c>
      <c r="C87" s="1">
        <v>68.833333333333329</v>
      </c>
      <c r="D87" s="1">
        <v>53.261275610573009</v>
      </c>
      <c r="E87" s="1">
        <v>139.59832282160926</v>
      </c>
      <c r="F87" s="3">
        <f t="shared" si="6"/>
        <v>5.2093221197539188E-4</v>
      </c>
      <c r="G87" s="1">
        <v>17682454</v>
      </c>
      <c r="H87" s="5">
        <v>26797790.501809798</v>
      </c>
      <c r="I87" s="1">
        <f t="shared" si="7"/>
        <v>1515501.7794368246</v>
      </c>
      <c r="J87" s="1">
        <f t="shared" si="5"/>
        <v>14.231257149637553</v>
      </c>
    </row>
    <row r="88" spans="1:10" x14ac:dyDescent="0.3">
      <c r="A88" t="s">
        <v>87</v>
      </c>
      <c r="B88" s="2">
        <v>0.50630601906790584</v>
      </c>
      <c r="C88" s="1">
        <v>73.470000000000013</v>
      </c>
      <c r="D88" s="1">
        <v>53.261275610573009</v>
      </c>
      <c r="E88" s="1">
        <v>155.94128582683533</v>
      </c>
      <c r="F88" s="3">
        <f t="shared" si="6"/>
        <v>5.8336433125285323E-4</v>
      </c>
      <c r="G88" s="1">
        <v>17682454</v>
      </c>
      <c r="H88" s="5">
        <v>26731371.3699174</v>
      </c>
      <c r="I88" s="1">
        <f t="shared" si="7"/>
        <v>1511745.5625739165</v>
      </c>
      <c r="J88" s="1">
        <f t="shared" si="5"/>
        <v>14.228775542840209</v>
      </c>
    </row>
    <row r="89" spans="1:10" x14ac:dyDescent="0.3">
      <c r="A89" t="s">
        <v>88</v>
      </c>
      <c r="B89" s="2">
        <v>0.50630601906790584</v>
      </c>
      <c r="C89" s="1">
        <v>79.586666666666659</v>
      </c>
      <c r="D89" s="1">
        <v>53.261275610573009</v>
      </c>
      <c r="E89" s="1">
        <v>104.90276574683533</v>
      </c>
      <c r="F89" s="3">
        <f t="shared" si="6"/>
        <v>3.5858792531693869E-4</v>
      </c>
      <c r="G89" s="1">
        <v>17682454</v>
      </c>
      <c r="H89" s="5">
        <v>29254405.500162002</v>
      </c>
      <c r="I89" s="1">
        <f t="shared" si="7"/>
        <v>1654431.308016523</v>
      </c>
      <c r="J89" s="1">
        <f t="shared" ref="J89:J105" si="8">LN(I89)</f>
        <v>14.318967887208414</v>
      </c>
    </row>
    <row r="90" spans="1:10" x14ac:dyDescent="0.3">
      <c r="A90" t="s">
        <v>89</v>
      </c>
      <c r="B90" s="2">
        <v>0.4933231205135486</v>
      </c>
      <c r="C90" s="1">
        <v>100.29666666666667</v>
      </c>
      <c r="D90" s="1">
        <v>61.880792818785956</v>
      </c>
      <c r="E90" s="1">
        <v>136.62151367375441</v>
      </c>
      <c r="F90" s="3">
        <f t="shared" si="6"/>
        <v>5.192676661320831E-4</v>
      </c>
      <c r="G90" s="1">
        <v>17823897</v>
      </c>
      <c r="H90" s="5">
        <v>26310421.8853871</v>
      </c>
      <c r="I90" s="1">
        <f t="shared" si="7"/>
        <v>1476131.8406062997</v>
      </c>
      <c r="J90" s="1">
        <f t="shared" si="8"/>
        <v>14.204935603057498</v>
      </c>
    </row>
    <row r="91" spans="1:10" x14ac:dyDescent="0.3">
      <c r="A91" t="s">
        <v>90</v>
      </c>
      <c r="B91" s="2">
        <v>0.4933231205135486</v>
      </c>
      <c r="C91" s="1">
        <v>113.54333333333334</v>
      </c>
      <c r="D91" s="1">
        <v>61.880792818785956</v>
      </c>
      <c r="E91" s="1">
        <v>678.43956771375406</v>
      </c>
      <c r="F91" s="3">
        <f t="shared" si="6"/>
        <v>2.3992649689296305E-3</v>
      </c>
      <c r="G91" s="1">
        <v>17823897</v>
      </c>
      <c r="H91" s="5">
        <v>28276975.5112301</v>
      </c>
      <c r="I91" s="1">
        <f t="shared" si="7"/>
        <v>1586464.2570157414</v>
      </c>
      <c r="J91" s="1">
        <f t="shared" si="8"/>
        <v>14.277018360294136</v>
      </c>
    </row>
    <row r="92" spans="1:10" x14ac:dyDescent="0.3">
      <c r="A92" t="s">
        <v>91</v>
      </c>
      <c r="B92" s="2">
        <v>0.4933231205135486</v>
      </c>
      <c r="C92" s="1">
        <v>100.71333333333332</v>
      </c>
      <c r="D92" s="1">
        <v>61.880792818785956</v>
      </c>
      <c r="E92" s="1">
        <v>88.208490243504087</v>
      </c>
      <c r="F92" s="3">
        <f t="shared" si="6"/>
        <v>3.1237917332559059E-4</v>
      </c>
      <c r="G92" s="1">
        <v>17823897</v>
      </c>
      <c r="H92" s="5">
        <v>28237634.828351699</v>
      </c>
      <c r="I92" s="1">
        <f t="shared" si="7"/>
        <v>1584257.0695034706</v>
      </c>
      <c r="J92" s="1">
        <f t="shared" si="8"/>
        <v>14.275626129541893</v>
      </c>
    </row>
    <row r="93" spans="1:10" x14ac:dyDescent="0.3">
      <c r="A93" t="s">
        <v>92</v>
      </c>
      <c r="B93" s="2">
        <v>0.4933231205135486</v>
      </c>
      <c r="C93" s="1">
        <v>88.556666666666672</v>
      </c>
      <c r="D93" s="1">
        <v>61.880792818785956</v>
      </c>
      <c r="E93" s="1">
        <v>-21.078768101495783</v>
      </c>
      <c r="F93" s="3">
        <f t="shared" si="6"/>
        <v>-6.9433592118135147E-5</v>
      </c>
      <c r="G93" s="1">
        <v>17823897</v>
      </c>
      <c r="H93" s="5">
        <v>30358170.243636701</v>
      </c>
      <c r="I93" s="1">
        <f t="shared" si="7"/>
        <v>1703228.5500548338</v>
      </c>
      <c r="J93" s="1">
        <f t="shared" si="8"/>
        <v>14.348036155017695</v>
      </c>
    </row>
    <row r="94" spans="1:10" x14ac:dyDescent="0.3">
      <c r="A94" t="s">
        <v>93</v>
      </c>
      <c r="B94" s="2">
        <v>0.53844490027336789</v>
      </c>
      <c r="C94" s="1">
        <v>81.173333333333332</v>
      </c>
      <c r="D94" s="1">
        <v>56.997753564909139</v>
      </c>
      <c r="E94" s="1">
        <v>100.04113541599733</v>
      </c>
      <c r="F94" s="3">
        <f t="shared" si="6"/>
        <v>3.6890553136409627E-4</v>
      </c>
      <c r="G94" s="1">
        <v>17980083</v>
      </c>
      <c r="H94" s="5">
        <v>27118361.453154899</v>
      </c>
      <c r="I94" s="1">
        <f t="shared" si="7"/>
        <v>1508244.5088354095</v>
      </c>
      <c r="J94" s="1">
        <f t="shared" si="8"/>
        <v>14.226456955544124</v>
      </c>
    </row>
    <row r="95" spans="1:10" x14ac:dyDescent="0.3">
      <c r="A95" t="s">
        <v>94</v>
      </c>
      <c r="B95" s="2">
        <v>0.53844490027336789</v>
      </c>
      <c r="C95" s="1">
        <v>78.316666666666663</v>
      </c>
      <c r="D95" s="1">
        <v>56.997753564909139</v>
      </c>
      <c r="E95" s="1">
        <v>110.06023920599731</v>
      </c>
      <c r="F95" s="3">
        <f t="shared" si="6"/>
        <v>3.7017767786260992E-4</v>
      </c>
      <c r="G95" s="1">
        <v>17980083</v>
      </c>
      <c r="H95" s="5">
        <v>29731733.107593201</v>
      </c>
      <c r="I95" s="1">
        <f t="shared" si="7"/>
        <v>1653592.6506898326</v>
      </c>
      <c r="J95" s="1">
        <f t="shared" si="8"/>
        <v>14.318460842909383</v>
      </c>
    </row>
    <row r="96" spans="1:10" x14ac:dyDescent="0.3">
      <c r="A96" t="s">
        <v>96</v>
      </c>
      <c r="B96" s="2">
        <v>0.53844490027336789</v>
      </c>
      <c r="C96" s="1">
        <v>86.660000000000011</v>
      </c>
      <c r="D96" s="1">
        <v>56.997753564909139</v>
      </c>
      <c r="E96" s="1">
        <v>162.8210065155975</v>
      </c>
      <c r="F96" s="3">
        <f t="shared" si="6"/>
        <v>5.7918073104588604E-4</v>
      </c>
      <c r="G96" s="1">
        <v>17980083</v>
      </c>
      <c r="H96" s="5">
        <v>28112296.868297901</v>
      </c>
      <c r="I96" s="1">
        <f t="shared" si="7"/>
        <v>1563524.3101101315</v>
      </c>
      <c r="J96" s="1">
        <f>LN(I96)</f>
        <v>14.262453004278587</v>
      </c>
    </row>
    <row r="97" spans="1:10" x14ac:dyDescent="0.3">
      <c r="A97" t="s">
        <v>97</v>
      </c>
      <c r="B97" s="2">
        <v>0.53844490027336789</v>
      </c>
      <c r="C97" s="1">
        <v>83.723333333333329</v>
      </c>
      <c r="D97" s="1">
        <v>56.997753564909139</v>
      </c>
      <c r="E97" s="1">
        <v>107.86454938559748</v>
      </c>
      <c r="F97" s="3">
        <f t="shared" si="6"/>
        <v>3.5604408967475435E-4</v>
      </c>
      <c r="G97" s="1">
        <v>17980083</v>
      </c>
      <c r="H97" s="5">
        <v>30295278.734757699</v>
      </c>
      <c r="I97" s="1">
        <f t="shared" si="7"/>
        <v>1684935.421864165</v>
      </c>
      <c r="J97" s="1">
        <f t="shared" si="8"/>
        <v>14.337237795730999</v>
      </c>
    </row>
    <row r="98" spans="1:10" x14ac:dyDescent="0.3">
      <c r="A98" t="s">
        <v>98</v>
      </c>
      <c r="B98" s="2">
        <v>0.54999781348723231</v>
      </c>
      <c r="C98" s="1">
        <v>83.00333333333333</v>
      </c>
      <c r="D98" s="1">
        <v>57.203139553125503</v>
      </c>
      <c r="E98" s="1">
        <v>111.76308043572899</v>
      </c>
      <c r="F98" s="3">
        <f t="shared" ref="F98:F105" si="9">E98/H98*100</f>
        <v>4.1555499076020879E-4</v>
      </c>
      <c r="G98" s="1">
        <v>18135478</v>
      </c>
      <c r="H98" s="5">
        <v>26894895.482129</v>
      </c>
      <c r="I98" s="1">
        <f t="shared" ref="I98:I105" si="10">(H98*1000000)/G98</f>
        <v>1482998.9858623522</v>
      </c>
      <c r="J98" s="1">
        <f t="shared" si="8"/>
        <v>14.209576937277861</v>
      </c>
    </row>
    <row r="99" spans="1:10" x14ac:dyDescent="0.3">
      <c r="A99" t="s">
        <v>99</v>
      </c>
      <c r="B99" s="2">
        <v>0.54999781348723231</v>
      </c>
      <c r="C99" s="1">
        <v>84.646666666666661</v>
      </c>
      <c r="D99" s="1">
        <v>57.203139553125503</v>
      </c>
      <c r="E99" s="1">
        <v>76.922081335729004</v>
      </c>
      <c r="F99" s="3">
        <f t="shared" si="9"/>
        <v>2.7043123383241845E-4</v>
      </c>
      <c r="G99" s="1">
        <v>18135478</v>
      </c>
      <c r="H99" s="5">
        <v>28444229.701439101</v>
      </c>
      <c r="I99" s="1">
        <f t="shared" si="10"/>
        <v>1568430.1070773597</v>
      </c>
      <c r="J99" s="1">
        <f t="shared" si="8"/>
        <v>14.265585745261316</v>
      </c>
    </row>
    <row r="100" spans="1:10" x14ac:dyDescent="0.3">
      <c r="A100" t="s">
        <v>100</v>
      </c>
      <c r="B100" s="2">
        <v>0.54999781348723231</v>
      </c>
      <c r="C100" s="1">
        <v>79.843333333333334</v>
      </c>
      <c r="D100" s="1">
        <v>57.203139553125503</v>
      </c>
      <c r="E100" s="1">
        <v>178.0674237566804</v>
      </c>
      <c r="F100" s="3">
        <f t="shared" si="9"/>
        <v>6.445540581094118E-4</v>
      </c>
      <c r="G100" s="1">
        <v>18135478</v>
      </c>
      <c r="H100" s="5">
        <v>27626452.974166799</v>
      </c>
      <c r="I100" s="1">
        <f t="shared" si="10"/>
        <v>1523337.4589942873</v>
      </c>
      <c r="J100" s="1">
        <f t="shared" si="8"/>
        <v>14.236414182509959</v>
      </c>
    </row>
    <row r="101" spans="1:10" x14ac:dyDescent="0.3">
      <c r="A101" t="s">
        <v>101</v>
      </c>
      <c r="B101" s="2">
        <v>0.54999781348723231</v>
      </c>
      <c r="C101" s="1">
        <v>74.61333333333333</v>
      </c>
      <c r="D101" s="1">
        <v>57.203139553125503</v>
      </c>
      <c r="E101" s="1">
        <v>79.3235861666804</v>
      </c>
      <c r="F101" s="3">
        <f t="shared" si="9"/>
        <v>2.6395988789902435E-4</v>
      </c>
      <c r="G101" s="1">
        <v>18135478</v>
      </c>
      <c r="H101" s="5">
        <v>30051378.941721998</v>
      </c>
      <c r="I101" s="1">
        <f t="shared" si="10"/>
        <v>1657049.1796092719</v>
      </c>
      <c r="J101" s="1">
        <f t="shared" si="8"/>
        <v>14.320548975877296</v>
      </c>
    </row>
    <row r="102" spans="1:10" x14ac:dyDescent="0.3">
      <c r="A102" t="s">
        <v>102</v>
      </c>
      <c r="B102" s="2">
        <v>0.61900814718400521</v>
      </c>
      <c r="C102" s="1">
        <v>75.813333333333333</v>
      </c>
      <c r="D102" s="1">
        <v>57.5</v>
      </c>
      <c r="E102" s="1">
        <v>229.51213967077121</v>
      </c>
      <c r="F102" s="3">
        <f t="shared" si="9"/>
        <v>8.0356993570581271E-4</v>
      </c>
      <c r="G102" s="1">
        <v>18289896</v>
      </c>
      <c r="H102" s="5">
        <v>28561563.7759245</v>
      </c>
      <c r="I102" s="1">
        <f t="shared" si="10"/>
        <v>1561603.3998183752</v>
      </c>
      <c r="J102" s="1">
        <f t="shared" si="8"/>
        <v>14.261223671776387</v>
      </c>
    </row>
    <row r="103" spans="1:10" x14ac:dyDescent="0.3">
      <c r="A103" t="s">
        <v>103</v>
      </c>
      <c r="B103" s="2">
        <v>0.61900814718400521</v>
      </c>
      <c r="C103" s="1">
        <v>68.006666666666661</v>
      </c>
      <c r="D103" s="1">
        <v>57.5</v>
      </c>
      <c r="E103" s="1">
        <v>111.54028789077111</v>
      </c>
      <c r="F103" s="3">
        <f t="shared" si="9"/>
        <v>3.8433974830641746E-4</v>
      </c>
      <c r="G103" s="1">
        <v>18289896</v>
      </c>
      <c r="H103" s="5">
        <v>29021273.0747393</v>
      </c>
      <c r="I103" s="1">
        <f t="shared" si="10"/>
        <v>1586738.0041274866</v>
      </c>
      <c r="J103" s="1">
        <f t="shared" si="8"/>
        <v>14.277190897113346</v>
      </c>
    </row>
    <row r="104" spans="1:10" x14ac:dyDescent="0.3">
      <c r="A104" t="s">
        <v>104</v>
      </c>
      <c r="B104" s="2">
        <v>0.61900814718400521</v>
      </c>
      <c r="C104" s="1">
        <v>68.966666666666683</v>
      </c>
      <c r="D104" s="1">
        <v>57.5</v>
      </c>
      <c r="E104" s="1">
        <v>550.90082451471869</v>
      </c>
      <c r="F104" s="3">
        <f t="shared" si="9"/>
        <v>1.9281823907310097E-3</v>
      </c>
      <c r="G104" s="1">
        <v>18289896</v>
      </c>
      <c r="H104" s="5">
        <v>28570991.373168901</v>
      </c>
      <c r="I104" s="1">
        <f t="shared" si="10"/>
        <v>1562118.8536648268</v>
      </c>
      <c r="J104" s="1">
        <f t="shared" si="8"/>
        <v>14.26155369718153</v>
      </c>
    </row>
    <row r="105" spans="1:10" x14ac:dyDescent="0.3">
      <c r="A105" t="s">
        <v>105</v>
      </c>
      <c r="B105" s="2">
        <v>0.61900814718400521</v>
      </c>
      <c r="C105" s="1">
        <v>63.626666666666665</v>
      </c>
      <c r="D105" s="1">
        <v>57.5</v>
      </c>
      <c r="E105" s="1">
        <v>407.27813832121933</v>
      </c>
      <c r="F105" s="3">
        <f t="shared" si="9"/>
        <v>1.3106682629250768E-3</v>
      </c>
      <c r="G105" s="1">
        <v>18289896</v>
      </c>
      <c r="H105" s="5">
        <v>31074082.576187398</v>
      </c>
      <c r="I105" s="1">
        <f t="shared" si="10"/>
        <v>1698975.3564584183</v>
      </c>
      <c r="J105" s="1">
        <f t="shared" si="8"/>
        <v>14.345535895815749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BF534-287D-4F5E-98E0-90904EC5E387}">
  <dimension ref="A1:G11"/>
  <sheetViews>
    <sheetView tabSelected="1" workbookViewId="0">
      <selection activeCell="C16" sqref="C16"/>
    </sheetView>
  </sheetViews>
  <sheetFormatPr baseColWidth="10" defaultRowHeight="14.4" x14ac:dyDescent="0.3"/>
  <cols>
    <col min="1" max="1" width="21.109375" customWidth="1"/>
    <col min="2" max="2" width="30.44140625" customWidth="1"/>
    <col min="3" max="3" width="73.77734375" customWidth="1"/>
    <col min="4" max="4" width="20.21875" customWidth="1"/>
    <col min="5" max="5" width="26.5546875" customWidth="1"/>
    <col min="6" max="6" width="34.109375" customWidth="1"/>
    <col min="7" max="7" width="34.6640625" customWidth="1"/>
  </cols>
  <sheetData>
    <row r="1" spans="1:7" x14ac:dyDescent="0.3">
      <c r="A1" t="s">
        <v>162</v>
      </c>
      <c r="B1" t="s">
        <v>161</v>
      </c>
      <c r="C1" t="s">
        <v>160</v>
      </c>
      <c r="D1" t="s">
        <v>159</v>
      </c>
      <c r="E1" t="s">
        <v>158</v>
      </c>
      <c r="F1" t="s">
        <v>157</v>
      </c>
      <c r="G1" t="s">
        <v>156</v>
      </c>
    </row>
    <row r="2" spans="1:7" x14ac:dyDescent="0.3">
      <c r="A2" t="s">
        <v>0</v>
      </c>
      <c r="B2" t="s">
        <v>155</v>
      </c>
      <c r="C2" t="s">
        <v>154</v>
      </c>
      <c r="D2" t="s">
        <v>153</v>
      </c>
      <c r="E2" t="s">
        <v>152</v>
      </c>
      <c r="F2" t="s">
        <v>115</v>
      </c>
      <c r="G2" t="s">
        <v>151</v>
      </c>
    </row>
    <row r="3" spans="1:7" x14ac:dyDescent="0.3">
      <c r="A3" t="s">
        <v>106</v>
      </c>
      <c r="B3" t="s">
        <v>150</v>
      </c>
      <c r="C3" t="s">
        <v>149</v>
      </c>
      <c r="D3" t="s">
        <v>117</v>
      </c>
      <c r="E3" t="s">
        <v>148</v>
      </c>
      <c r="F3" t="s">
        <v>115</v>
      </c>
      <c r="G3" t="s">
        <v>147</v>
      </c>
    </row>
    <row r="4" spans="1:7" x14ac:dyDescent="0.3">
      <c r="A4" t="s">
        <v>107</v>
      </c>
      <c r="B4" t="s">
        <v>146</v>
      </c>
      <c r="C4" t="s">
        <v>145</v>
      </c>
      <c r="D4" t="s">
        <v>117</v>
      </c>
      <c r="E4" t="s">
        <v>134</v>
      </c>
      <c r="F4" t="s">
        <v>144</v>
      </c>
      <c r="G4" t="s">
        <v>143</v>
      </c>
    </row>
    <row r="5" spans="1:7" x14ac:dyDescent="0.3">
      <c r="A5" t="s">
        <v>108</v>
      </c>
      <c r="B5" t="s">
        <v>142</v>
      </c>
      <c r="C5" t="s">
        <v>141</v>
      </c>
      <c r="D5" t="s">
        <v>117</v>
      </c>
      <c r="E5" t="s">
        <v>134</v>
      </c>
      <c r="F5" t="s">
        <v>115</v>
      </c>
      <c r="G5" t="s">
        <v>140</v>
      </c>
    </row>
    <row r="6" spans="1:7" x14ac:dyDescent="0.3">
      <c r="A6" t="s">
        <v>109</v>
      </c>
      <c r="B6" t="s">
        <v>139</v>
      </c>
      <c r="C6" t="s">
        <v>138</v>
      </c>
      <c r="D6" t="s">
        <v>117</v>
      </c>
      <c r="E6" t="s">
        <v>134</v>
      </c>
      <c r="F6" t="s">
        <v>115</v>
      </c>
      <c r="G6" t="s">
        <v>137</v>
      </c>
    </row>
    <row r="7" spans="1:7" x14ac:dyDescent="0.3">
      <c r="A7" t="s">
        <v>110</v>
      </c>
      <c r="B7" t="s">
        <v>136</v>
      </c>
      <c r="C7" t="s">
        <v>135</v>
      </c>
      <c r="D7" t="s">
        <v>117</v>
      </c>
      <c r="E7" t="s">
        <v>134</v>
      </c>
      <c r="F7" t="s">
        <v>115</v>
      </c>
      <c r="G7" t="s">
        <v>133</v>
      </c>
    </row>
    <row r="8" spans="1:7" x14ac:dyDescent="0.3">
      <c r="A8" t="s">
        <v>95</v>
      </c>
      <c r="B8" t="s">
        <v>132</v>
      </c>
      <c r="C8" t="s">
        <v>131</v>
      </c>
      <c r="D8" t="s">
        <v>117</v>
      </c>
      <c r="E8" t="s">
        <v>126</v>
      </c>
      <c r="F8" t="s">
        <v>130</v>
      </c>
      <c r="G8" t="s">
        <v>129</v>
      </c>
    </row>
    <row r="9" spans="1:7" x14ac:dyDescent="0.3">
      <c r="A9" t="s">
        <v>111</v>
      </c>
      <c r="B9" t="s">
        <v>128</v>
      </c>
      <c r="C9" t="s">
        <v>127</v>
      </c>
      <c r="D9" t="s">
        <v>117</v>
      </c>
      <c r="E9" t="s">
        <v>126</v>
      </c>
      <c r="F9" t="s">
        <v>115</v>
      </c>
      <c r="G9" t="s">
        <v>125</v>
      </c>
    </row>
    <row r="10" spans="1:7" x14ac:dyDescent="0.3">
      <c r="A10" t="s">
        <v>124</v>
      </c>
      <c r="B10" t="s">
        <v>123</v>
      </c>
      <c r="C10" t="s">
        <v>122</v>
      </c>
      <c r="D10" t="s">
        <v>117</v>
      </c>
      <c r="E10" t="s">
        <v>121</v>
      </c>
      <c r="F10" t="s">
        <v>115</v>
      </c>
      <c r="G10" t="s">
        <v>120</v>
      </c>
    </row>
    <row r="11" spans="1:7" x14ac:dyDescent="0.3">
      <c r="A11" t="s">
        <v>113</v>
      </c>
      <c r="B11" t="s">
        <v>119</v>
      </c>
      <c r="C11" t="s">
        <v>118</v>
      </c>
      <c r="D11" t="s">
        <v>117</v>
      </c>
      <c r="E11" t="s">
        <v>116</v>
      </c>
      <c r="F11" t="s">
        <v>115</v>
      </c>
      <c r="G1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Datos_Finales_Limpio</vt:lpstr>
      <vt:lpstr>Diccionario_Variables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Cuacés</dc:creator>
  <cp:lastModifiedBy>Diego Cuacés</cp:lastModifiedBy>
  <dcterms:created xsi:type="dcterms:W3CDTF">2026-05-06T13:30:28Z</dcterms:created>
  <dcterms:modified xsi:type="dcterms:W3CDTF">2026-05-19T00:56:00Z</dcterms:modified>
</cp:coreProperties>
</file>